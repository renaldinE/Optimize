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Template\"/>
    </mc:Choice>
  </mc:AlternateContent>
  <xr:revisionPtr revIDLastSave="0" documentId="13_ncr:1_{82E6D354-3666-453E-9EF6-F33690CFCB79}" xr6:coauthVersionLast="47" xr6:coauthVersionMax="47" xr10:uidLastSave="{00000000-0000-0000-0000-000000000000}"/>
  <bookViews>
    <workbookView xWindow="-90" yWindow="-90" windowWidth="16637" windowHeight="9437" activeTab="2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definedNames>
    <definedName name="_1st_ref">Reference!$F$2</definedName>
    <definedName name="Case_Count">Cases!$B$1</definedName>
    <definedName name="First_Case">Cases!$A$2</definedName>
    <definedName name="NRG_Table">Reference!$G$3:$I$8</definedName>
    <definedName name="NRGs">Reference!$G$2</definedName>
    <definedName name="Param_Count">Reference!$E$2</definedName>
    <definedName name="Param_Table">Reference!$B$2:$D$6</definedName>
    <definedName name="Params">Reference!$B$2:$B$6</definedName>
    <definedName name="Parm_Count">Reference!$E$2</definedName>
    <definedName name="Regions">Reference!$A$2:$A$15</definedName>
    <definedName name="Table_Corner">Calc!$B$5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H4" i="4" s="1"/>
  <c r="H5" i="4" s="1"/>
  <c r="H6" i="4" s="1"/>
  <c r="H7" i="4" s="1"/>
  <c r="A2" i="5"/>
  <c r="A1" i="5"/>
  <c r="D2" i="3"/>
  <c r="D3" i="5" s="1"/>
  <c r="B6" i="5" l="1"/>
  <c r="H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75A155B0-9872-4F61-8831-7E5AE6DC6C1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<sst xmlns="http://schemas.openxmlformats.org/spreadsheetml/2006/main" count="44" uniqueCount="41">
  <si>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</si>
  <si>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</si>
  <si>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</si>
  <si>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</si>
  <si>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</si>
  <si>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</si>
  <si>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</si>
  <si>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</si>
  <si>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</si>
  <si>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</si>
  <si>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</si>
  <si>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</si>
  <si>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</si>
  <si>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</si>
  <si>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</si>
  <si>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</si>
  <si>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</si>
  <si>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</si>
  <si>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</si>
  <si>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</si>
  <si>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</si>
  <si>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Tons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</si>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</sst>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Graph!$D$2</c:f>
          <c:strCache>
            <c:ptCount val="1"/>
            <c:pt idx="0">
              <c:v>Sum_All - Energy (MWh)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</c:numCache>
            </c:numRef>
          </c:cat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1-4B31-90B3-09E6D569A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</c:numCache>
            </c:numRef>
          </c:cat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8-47E7-8699-47C45162F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Nuclear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</c:numCache>
            </c:numRef>
          </c:cat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C-480B-BD7D-691692830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</c:numCache>
            </c:numRef>
          </c:cat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7-44C6-A9EA-C6B5B23DD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</c:numCache>
            </c:numRef>
          </c:cat>
          <c:val>
            <c:numRef>
              <c:f>Calc!#REF!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F85-41BD-BC74-AE46636C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</c:numCache>
            </c:numRef>
          </c:cat>
          <c:val>
            <c:numRef>
              <c:f>Calc!#REF!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DF6-4D09-8805-407A6A956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</c:numCache>
            </c:numRef>
          </c:cat>
          <c:val>
            <c:numRef>
              <c:f>Calc!#REF!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6CF-4CB4-A887-56966455A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305964</xdr:colOff>
      <xdr:row>2</xdr:row>
      <xdr:rowOff>182022</xdr:rowOff>
    </xdr:from>
    <xdr:to>
      <xdr:col>10</xdr:col>
      <xdr:colOff>356118</xdr:colOff>
      <xdr:row>17</xdr:row>
      <xdr:rowOff>117326</xdr:rowOff>
    </xdr:to>
    <xdr:graphicFrame macro="">
      <xdr:nvGraphicFramePr>
        <xdr:cNvPr id="4" name="All_NRGs">
          <a:extLst>
            <a:ext uri="{FF2B5EF4-FFF2-40B4-BE49-F238E27FC236}">
              <a16:creationId xmlns:a16="http://schemas.microsoft.com/office/drawing/2014/main" id="{2A5DAC6B-D150-43C0-B4B5-C65485389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404519</xdr:colOff>
      <xdr:row>1</xdr:row>
      <xdr:rowOff>20020</xdr:rowOff>
    </xdr:from>
    <xdr:to>
      <xdr:col>19</xdr:col>
      <xdr:colOff>151235</xdr:colOff>
      <xdr:row>11</xdr:row>
      <xdr:rowOff>9137</xdr:rowOff>
    </xdr:to>
    <xdr:graphicFrame macro="">
      <xdr:nvGraphicFramePr>
        <xdr:cNvPr id="15" name="Wind">
          <a:extLst>
            <a:ext uri="{FF2B5EF4-FFF2-40B4-BE49-F238E27FC236}">
              <a16:creationId xmlns:a16="http://schemas.microsoft.com/office/drawing/2014/main" id="{3B49F268-D44B-40F0-92FF-F1DAF4C40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526791</xdr:colOff>
      <xdr:row>11</xdr:row>
      <xdr:rowOff>182725</xdr:rowOff>
    </xdr:from>
    <xdr:to>
      <xdr:col>14</xdr:col>
      <xdr:colOff>146179</xdr:colOff>
      <xdr:row>21</xdr:row>
      <xdr:rowOff>171839</xdr:rowOff>
    </xdr:to>
    <xdr:graphicFrame macro="">
      <xdr:nvGraphicFramePr>
        <xdr:cNvPr id="16" name="Nuclear">
          <a:extLst>
            <a:ext uri="{FF2B5EF4-FFF2-40B4-BE49-F238E27FC236}">
              <a16:creationId xmlns:a16="http://schemas.microsoft.com/office/drawing/2014/main" id="{D9AFE22F-F75D-45A2-A57C-439DF1ABF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443010</xdr:colOff>
      <xdr:row>12</xdr:row>
      <xdr:rowOff>5637</xdr:rowOff>
    </xdr:from>
    <xdr:to>
      <xdr:col>19</xdr:col>
      <xdr:colOff>190695</xdr:colOff>
      <xdr:row>21</xdr:row>
      <xdr:rowOff>181364</xdr:rowOff>
    </xdr:to>
    <xdr:graphicFrame macro="">
      <xdr:nvGraphicFramePr>
        <xdr:cNvPr id="17" name="Gas">
          <a:extLst>
            <a:ext uri="{FF2B5EF4-FFF2-40B4-BE49-F238E27FC236}">
              <a16:creationId xmlns:a16="http://schemas.microsoft.com/office/drawing/2014/main" id="{AD864480-0690-4460-9851-6545BB6F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479749</xdr:colOff>
      <xdr:row>23</xdr:row>
      <xdr:rowOff>40433</xdr:rowOff>
    </xdr:from>
    <xdr:to>
      <xdr:col>19</xdr:col>
      <xdr:colOff>229378</xdr:colOff>
      <xdr:row>33</xdr:row>
      <xdr:rowOff>29547</xdr:rowOff>
    </xdr:to>
    <xdr:graphicFrame macro="">
      <xdr:nvGraphicFramePr>
        <xdr:cNvPr id="18" name="Coal">
          <a:extLst>
            <a:ext uri="{FF2B5EF4-FFF2-40B4-BE49-F238E27FC236}">
              <a16:creationId xmlns:a16="http://schemas.microsoft.com/office/drawing/2014/main" id="{C724F9B7-7E1A-4B02-8D0D-5FDAC9BE1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522320</xdr:colOff>
      <xdr:row>22</xdr:row>
      <xdr:rowOff>186030</xdr:rowOff>
    </xdr:from>
    <xdr:to>
      <xdr:col>14</xdr:col>
      <xdr:colOff>136848</xdr:colOff>
      <xdr:row>32</xdr:row>
      <xdr:rowOff>175143</xdr:rowOff>
    </xdr:to>
    <xdr:graphicFrame macro="">
      <xdr:nvGraphicFramePr>
        <xdr:cNvPr id="19" name="Storage">
          <a:extLst>
            <a:ext uri="{FF2B5EF4-FFF2-40B4-BE49-F238E27FC236}">
              <a16:creationId xmlns:a16="http://schemas.microsoft.com/office/drawing/2014/main" id="{74AE522A-DE85-4C76-8553-6E6240B08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8943</xdr:colOff>
      <xdr:row>1</xdr:row>
      <xdr:rowOff>35181</xdr:rowOff>
    </xdr:from>
    <xdr:to>
      <xdr:col>14</xdr:col>
      <xdr:colOff>156093</xdr:colOff>
      <xdr:row>11</xdr:row>
      <xdr:rowOff>27214</xdr:rowOff>
    </xdr:to>
    <xdr:graphicFrame macro="">
      <xdr:nvGraphicFramePr>
        <xdr:cNvPr id="20" name="Solar">
          <a:extLst>
            <a:ext uri="{FF2B5EF4-FFF2-40B4-BE49-F238E27FC236}">
              <a16:creationId xmlns:a16="http://schemas.microsoft.com/office/drawing/2014/main" id="{103D6091-5108-45AB-9CDD-7C2DDA995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C6"/>
  <sheetViews>
    <sheetView workbookViewId="0">
      <selection activeCell="D1" sqref="D1"/>
    </sheetView>
  </sheetViews>
  <sheetFormatPr defaultRowHeight="14.6" x14ac:dyDescent="0.85"/>
  <sheetData>
    <row r="1" spans="1:3" x14ac:dyDescent="0.85">
      <c r="A1" t="s">
        <v>0</v>
      </c>
      <c r="C1" t="s">
        <v>30</v>
      </c>
    </row>
    <row r="2" spans="1:3" x14ac:dyDescent="0.85"/>
    <row r="3" spans="1:3" x14ac:dyDescent="0.85"/>
    <row r="4" spans="1:3" x14ac:dyDescent="0.85"/>
    <row r="5" spans="1:3" x14ac:dyDescent="0.85"/>
    <row r="6" spans="1:3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I15"/>
  <sheetViews>
    <sheetView workbookViewId="0">
      <selection activeCell="E3" sqref="E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  <col min="7" max="7" width="9.765625" bestFit="1" customWidth="1"/>
    <col min="8" max="8" width="9.73046875" bestFit="1" customWidth="1"/>
    <col min="9" max="9" width="12" bestFit="1" customWidth="1"/>
  </cols>
  <sheetData>
    <row r="1" spans="1:9" s="1" customFormat="1" x14ac:dyDescent="0.85">
      <c r="A1" s="1" t="s">
        <v>8</v>
      </c>
      <c r="B1" s="6" t="s">
        <v>9</v>
      </c>
      <c r="C1" s="7"/>
      <c r="D1" s="1" t="s">
        <v>10</v>
      </c>
      <c r="E1" s="1" t="s">
        <v>11</v>
      </c>
      <c r="F1" s="1" t="s">
        <v>12</v>
      </c>
      <c r="G1" s="1" t="s">
        <v>13</v>
      </c>
      <c r="H1" s="1" t="s">
        <v>38</v>
      </c>
      <c r="I1" s="1" t="s">
        <v>37</v>
      </c>
    </row>
    <row r="2" spans="1:9" x14ac:dyDescent="0.85">
      <c r="A2" t="s">
        <v>1</v>
      </c>
      <c r="B2" s="2" t="s">
        <v>32</v>
      </c>
      <c r="C2" s="2">
        <v>0</v>
      </c>
      <c r="D2" s="2" t="s">
        <v>15</v>
      </c>
      <c r="E2" s="2">
        <v>10</v>
      </c>
      <c r="F2">
        <v>9</v>
      </c>
      <c r="G2" t="s">
        <v>36</v>
      </c>
      <c r="I2">
        <v>7</v>
      </c>
    </row>
    <row r="3" spans="1:9" x14ac:dyDescent="0.85">
      <c r="A3" t="s">
        <v>14</v>
      </c>
      <c r="B3" s="2" t="s">
        <v>33</v>
      </c>
      <c r="C3" s="2">
        <v>1</v>
      </c>
      <c r="D3" s="2" t="s">
        <v>18</v>
      </c>
      <c r="E3" s="2"/>
      <c r="G3" t="s">
        <v>2</v>
      </c>
      <c r="H3">
        <f>_1st_ref</f>
        <v>9</v>
      </c>
      <c r="I3">
        <v>1</v>
      </c>
    </row>
    <row r="4" spans="1:9" x14ac:dyDescent="0.85">
      <c r="A4" t="s">
        <v>16</v>
      </c>
      <c r="B4" s="2" t="s">
        <v>34</v>
      </c>
      <c r="C4" s="2">
        <v>2</v>
      </c>
      <c r="D4" s="2" t="s">
        <v>35</v>
      </c>
      <c r="E4" s="2"/>
      <c r="G4" t="s">
        <v>3</v>
      </c>
      <c r="H4">
        <f>H3+Param_Count</f>
        <v>19</v>
      </c>
      <c r="I4">
        <v>2</v>
      </c>
    </row>
    <row r="5" spans="1:9" x14ac:dyDescent="0.85">
      <c r="A5" t="s">
        <v>17</v>
      </c>
      <c r="B5" s="2" t="s">
        <v>39</v>
      </c>
      <c r="C5" s="2">
        <v>3</v>
      </c>
      <c r="D5" s="2" t="s">
        <v>35</v>
      </c>
      <c r="E5" s="2"/>
      <c r="G5" t="s">
        <v>4</v>
      </c>
      <c r="H5">
        <f>H4+Param_Count</f>
        <v>29</v>
      </c>
      <c r="I5">
        <v>3</v>
      </c>
    </row>
    <row r="6" spans="1:9" x14ac:dyDescent="0.85">
      <c r="A6" t="s">
        <v>19</v>
      </c>
      <c r="B6" s="2" t="s">
        <v>40</v>
      </c>
      <c r="C6" s="2">
        <v>4</v>
      </c>
      <c r="D6" s="2" t="s">
        <v>21</v>
      </c>
      <c r="E6" s="2"/>
      <c r="G6" t="s">
        <v>5</v>
      </c>
      <c r="H6">
        <f>H5+Param_Count</f>
        <v>39</v>
      </c>
      <c r="I6">
        <v>4</v>
      </c>
    </row>
    <row r="7" spans="1:9" x14ac:dyDescent="0.85">
      <c r="A7" t="s">
        <v>20</v>
      </c>
      <c r="B7" s="2"/>
      <c r="C7" s="2"/>
      <c r="D7" s="2"/>
      <c r="E7" s="2"/>
      <c r="G7" t="s">
        <v>6</v>
      </c>
      <c r="H7">
        <f>H6+Param_Count</f>
        <v>49</v>
      </c>
      <c r="I7">
        <v>5</v>
      </c>
    </row>
    <row r="8" spans="1:9" x14ac:dyDescent="0.85">
      <c r="A8" t="s">
        <v>22</v>
      </c>
      <c r="G8" t="s">
        <v>7</v>
      </c>
      <c r="H8">
        <f>H7+Param_Count</f>
        <v>59</v>
      </c>
      <c r="I8">
        <v>6</v>
      </c>
    </row>
    <row r="9" spans="1:9" x14ac:dyDescent="0.85">
      <c r="A9" t="s">
        <v>23</v>
      </c>
    </row>
    <row r="10" spans="1:9" x14ac:dyDescent="0.85">
      <c r="A10" t="s">
        <v>24</v>
      </c>
    </row>
    <row r="11" spans="1:9" x14ac:dyDescent="0.85">
      <c r="A11" t="s">
        <v>25</v>
      </c>
      <c r="D11" s="4" t="s">
        <v>31</v>
      </c>
      <c r="E11" s="5"/>
      <c r="F11" s="5"/>
      <c r="G11" s="5"/>
    </row>
    <row r="12" spans="1:9" x14ac:dyDescent="0.85">
      <c r="A12" t="s">
        <v>26</v>
      </c>
    </row>
    <row r="13" spans="1:9" x14ac:dyDescent="0.85">
      <c r="A13" t="s">
        <v>27</v>
      </c>
    </row>
    <row r="14" spans="1:9" x14ac:dyDescent="0.85">
      <c r="A14" t="s">
        <v>28</v>
      </c>
    </row>
    <row r="15" spans="1:9" x14ac:dyDescent="0.85">
      <c r="A15" t="s">
        <v>29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F33"/>
  <sheetViews>
    <sheetView tabSelected="1" zoomScaleNormal="100" workbookViewId="0">
      <selection activeCell="A5" sqref="A5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6" x14ac:dyDescent="0.85">
      <c r="A1" s="3" t="s">
        <v>1</v>
      </c>
    </row>
    <row r="2" spans="1:6" x14ac:dyDescent="0.85">
      <c r="A2" s="3" t="s">
        <v>33</v>
      </c>
      <c r="D2" s="8" t="str">
        <f>$A$1 &amp; " - " &amp; $A$2 &amp; " (" &amp; VLOOKUP(A2,Param_Table,3,FALSE) &amp; ")"</f>
        <v>Sum_All - Energy (MWh)</v>
      </c>
      <c r="E2" s="8"/>
      <c r="F2" s="8"/>
    </row>
    <row r="3" spans="1:6" x14ac:dyDescent="0.85"/>
    <row r="4" spans="1:6" x14ac:dyDescent="0.85"/>
    <row r="5" spans="1:6" x14ac:dyDescent="0.85"/>
    <row r="6" spans="1:6" x14ac:dyDescent="0.85"/>
    <row r="7" spans="1:6" x14ac:dyDescent="0.85"/>
    <row r="8" spans="1:6" x14ac:dyDescent="0.85"/>
    <row r="9" spans="1:6" x14ac:dyDescent="0.85"/>
    <row r="10" spans="1:6" x14ac:dyDescent="0.85"/>
    <row r="11" spans="1:6" x14ac:dyDescent="0.85"/>
    <row r="12" spans="1:6" x14ac:dyDescent="0.85"/>
    <row r="13" spans="1:6" x14ac:dyDescent="0.85"/>
    <row r="14" spans="1:6" x14ac:dyDescent="0.85"/>
    <row r="15" spans="1:6" x14ac:dyDescent="0.85"/>
    <row r="16" spans="1:6" x14ac:dyDescent="0.85"/>
    <row r="17" s="3" customFormat="1" x14ac:dyDescent="0.85"/>
    <row r="18" s="3" customFormat="1" x14ac:dyDescent="0.85"/>
    <row r="19" s="3" customFormat="1" x14ac:dyDescent="0.85"/>
    <row r="20" s="3" customFormat="1" x14ac:dyDescent="0.85"/>
    <row r="21" s="3" customFormat="1" x14ac:dyDescent="0.85"/>
    <row r="22" s="3" customFormat="1" x14ac:dyDescent="0.85"/>
    <row r="23" s="3" customFormat="1" x14ac:dyDescent="0.85"/>
    <row r="24" s="3" customFormat="1" x14ac:dyDescent="0.85"/>
    <row r="25" s="3" customFormat="1" x14ac:dyDescent="0.85"/>
    <row r="26" s="3" customFormat="1" x14ac:dyDescent="0.85"/>
    <row r="27" s="3" customFormat="1" x14ac:dyDescent="0.85"/>
    <row r="28" s="3" customFormat="1" x14ac:dyDescent="0.85"/>
    <row r="29" s="3" customFormat="1" x14ac:dyDescent="0.85"/>
    <row r="30" s="3" customFormat="1" x14ac:dyDescent="0.85"/>
    <row r="31" s="3" customFormat="1" x14ac:dyDescent="0.85"/>
    <row r="32" s="3" customFormat="1" x14ac:dyDescent="0.85"/>
    <row r="33" s="3" customFormat="1" x14ac:dyDescent="0.85"/>
  </sheetData>
  <mergeCells count="1">
    <mergeCell ref="D2:F2"/>
  </mergeCells>
  <dataValidations count="2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uh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D33"/>
  <sheetViews>
    <sheetView workbookViewId="0"/>
  </sheetViews>
  <sheetFormatPr defaultColWidth="15.03515625" defaultRowHeight="14.6" x14ac:dyDescent="0.85"/>
  <cols>
    <col min="1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Energy</v>
      </c>
    </row>
    <row r="3" spans="1:4" x14ac:dyDescent="0.85">
      <c r="D3" s="3" t="str">
        <f>Graph!$D$2</f>
        <v>Sum_All - Energy (MWh)</v>
      </c>
    </row>
    <row r="5" spans="1:4" x14ac:dyDescent="0.85">
      <c r="B5" s="3">
        <v>-1</v>
      </c>
    </row>
    <row r="6" spans="1:4" x14ac:dyDescent="0.85">
      <c r="B6" s="3">
        <f>B5+1</f>
        <v>0</v>
      </c>
    </row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NRG_Table</vt:lpstr>
      <vt:lpstr>NRGs</vt:lpstr>
      <vt:lpstr>Param_Count</vt:lpstr>
      <vt:lpstr>Param_Table</vt:lpstr>
      <vt:lpstr>Params</vt:lpstr>
      <vt:lpstr>Parm_Count</vt:lpstr>
      <vt:lpstr>Regions</vt:lpstr>
      <vt:lpstr>Table_Corner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2024-01-03T22:46:49Z</dcterms:modified>
</cp:coreProperties>
</file>