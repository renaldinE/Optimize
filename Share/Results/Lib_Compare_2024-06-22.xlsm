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Shared\CCL_Share\Results\"/>
    </mc:Choice>
  </mc:AlternateContent>
  <xr:revisionPtr revIDLastSave="0" documentId="13_ncr:1_{1BD9181B-A152-4EF9-8D04-2B621E0A696C}" xr6:coauthVersionLast="47" xr6:coauthVersionMax="47" xr10:uidLastSave="{00000000-0000-0000-0000-000000000000}"/>
  <bookViews>
    <workbookView xWindow="-90" yWindow="-90" windowWidth="16637" windowHeight="9437" activeTab="1" xr2:uid="{8C7994C1-A10A-4AD4-8C33-2FA8764EDF37}"/>
  </bookViews>
  <sheets>
    <sheet name="Graph" sheetId="3" r:id="rId1"/>
    <sheet name="Graph_1y" sheetId="6" r:id="rId2"/>
    <sheet name="Calc" sheetId="5" r:id="rId3"/>
    <sheet name="Calc_1y" sheetId="7" r:id="rId4"/>
    <sheet name="Cases" sheetId="1" r:id="rId5"/>
    <sheet name="Reference" sheetId="8" r:id="rId6"/>
  </sheets>
  <functionGroups builtInGroupCount="19"/>
  <externalReferences>
    <externalReference r:id="rId7"/>
    <externalReference r:id="rId8"/>
    <externalReference r:id="rId9"/>
  </externalReferences>
  <definedNames>
    <definedName name="_1st_ref">Reference!$I$2</definedName>
    <definedName name="All_Cases">Cases!$A$1:$B$100</definedName>
    <definedName name="Analysis_Case2Filename">Reference!$S$2:$T$99</definedName>
    <definedName name="Analysis2Long">Reference!$M$2:$N$99</definedName>
    <definedName name="Analysis2Short">Reference!$N$2:$O$99</definedName>
    <definedName name="Case_Count">Cases!$B$1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ir2Long">Reference!$M$2:$N$99</definedName>
    <definedName name="First_Case">Cases!$B$2</definedName>
    <definedName name="First_Description">Cases!$A$2</definedName>
    <definedName name="Graph_1y_Key_Cells">Graph_1y!$A$1:$A$2,Graph_1y!$B$3</definedName>
    <definedName name="Graph_Key_Cells">Graph!$A$1:$A$3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1y">Graph_1y!$A$1</definedName>
    <definedName name="Region_abbr">Reference!$D$10</definedName>
    <definedName name="Region_lookup">Reference!$A$2:$B$15</definedName>
    <definedName name="Regions">Reference!$A$2:$A$15</definedName>
    <definedName name="Selected_NRG">Calc!$B$3</definedName>
    <definedName name="Selected_Year">Graph_1y!$B$3</definedName>
    <definedName name="Sub2Long">Reference!$P$2:$Q$99</definedName>
    <definedName name="Table_Corner">Calc!$B$5</definedName>
    <definedName name="Table_Corner_1y">Calc_1y!$B$5</definedName>
    <definedName name="To_Long">Reference!$B$2:$C$16</definedName>
    <definedName name="Year_1y">Calc_1y!$B$3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7" l="1"/>
  <c r="G5" i="7"/>
  <c r="F5" i="7"/>
  <c r="E5" i="7"/>
  <c r="D5" i="7"/>
  <c r="C5" i="7"/>
  <c r="E8" i="7" l="1"/>
  <c r="D8" i="7"/>
  <c r="C8" i="7"/>
  <c r="G8" i="7"/>
  <c r="F8" i="7"/>
  <c r="H8" i="7"/>
  <c r="E7" i="5" l="1"/>
  <c r="E27" i="5"/>
  <c r="E10" i="5"/>
  <c r="E8" i="5"/>
  <c r="E19" i="5"/>
  <c r="E24" i="5"/>
  <c r="E23" i="5"/>
  <c r="E31" i="5"/>
  <c r="E9" i="5"/>
  <c r="E11" i="5"/>
  <c r="E29" i="5"/>
  <c r="E32" i="5"/>
  <c r="E12" i="5"/>
  <c r="E18" i="5"/>
  <c r="E26" i="5"/>
  <c r="E13" i="5"/>
  <c r="E16" i="5"/>
  <c r="E25" i="5"/>
  <c r="E17" i="5"/>
  <c r="E15" i="5"/>
  <c r="E20" i="5"/>
  <c r="E14" i="5"/>
  <c r="E22" i="5"/>
  <c r="E33" i="5"/>
  <c r="E28" i="5"/>
  <c r="E21" i="5"/>
  <c r="E30" i="5"/>
  <c r="E6" i="5" l="1"/>
  <c r="F7" i="7" l="1"/>
  <c r="E7" i="7"/>
  <c r="C7" i="7"/>
  <c r="H7" i="7"/>
  <c r="G7" i="7" l="1"/>
  <c r="D7" i="7"/>
  <c r="D7" i="5"/>
  <c r="D9" i="5"/>
  <c r="D11" i="5"/>
  <c r="D27" i="5"/>
  <c r="D14" i="5"/>
  <c r="D23" i="5"/>
  <c r="D29" i="5"/>
  <c r="D20" i="5"/>
  <c r="D12" i="5"/>
  <c r="D21" i="5"/>
  <c r="D33" i="5"/>
  <c r="D16" i="5"/>
  <c r="D22" i="5"/>
  <c r="D30" i="5"/>
  <c r="D13" i="5"/>
  <c r="D17" i="5"/>
  <c r="D10" i="5"/>
  <c r="D26" i="5"/>
  <c r="D19" i="5"/>
  <c r="D28" i="5"/>
  <c r="D32" i="5"/>
  <c r="D31" i="5"/>
  <c r="D18" i="5"/>
  <c r="D24" i="5"/>
  <c r="D25" i="5"/>
  <c r="D15" i="5" l="1"/>
  <c r="D8" i="5"/>
  <c r="D6" i="5" l="1"/>
  <c r="F6" i="7" l="1"/>
  <c r="E6" i="7"/>
  <c r="D6" i="7"/>
  <c r="C6" i="7"/>
  <c r="G6" i="7"/>
  <c r="H6" i="7"/>
  <c r="C7" i="5" l="1"/>
  <c r="C20" i="5"/>
  <c r="C30" i="5"/>
  <c r="C12" i="5"/>
  <c r="C24" i="5"/>
  <c r="C10" i="5"/>
  <c r="C26" i="5"/>
  <c r="C31" i="5"/>
  <c r="C14" i="5"/>
  <c r="C19" i="5"/>
  <c r="C17" i="5"/>
  <c r="C22" i="5"/>
  <c r="C33" i="5"/>
  <c r="C11" i="5"/>
  <c r="C25" i="5"/>
  <c r="C23" i="5"/>
  <c r="C29" i="5"/>
  <c r="C13" i="5"/>
  <c r="C32" i="5"/>
  <c r="C16" i="5"/>
  <c r="C15" i="5"/>
  <c r="C9" i="5"/>
  <c r="C27" i="5"/>
  <c r="C28" i="5"/>
  <c r="C18" i="5"/>
  <c r="C21" i="5"/>
  <c r="C8" i="5" l="1"/>
  <c r="C6" i="5" l="1"/>
  <c r="O15" i="8" l="1"/>
  <c r="S6" i="8"/>
  <c r="R6" i="8"/>
  <c r="G6" i="8"/>
  <c r="S5" i="8"/>
  <c r="R5" i="8"/>
  <c r="O5" i="8"/>
  <c r="G5" i="8"/>
  <c r="S4" i="8"/>
  <c r="R4" i="8"/>
  <c r="O4" i="8"/>
  <c r="G4" i="8"/>
  <c r="S3" i="8"/>
  <c r="R3" i="8"/>
  <c r="O3" i="8"/>
  <c r="K3" i="8"/>
  <c r="K4" i="8" s="1"/>
  <c r="K5" i="8" s="1"/>
  <c r="K6" i="8" s="1"/>
  <c r="K7" i="8" s="1"/>
  <c r="G3" i="8"/>
  <c r="S2" i="8"/>
  <c r="R2" i="8"/>
  <c r="O2" i="8"/>
  <c r="K2" i="8"/>
  <c r="G2" i="8"/>
  <c r="C1" i="8"/>
  <c r="B3" i="7"/>
  <c r="A2" i="7" l="1"/>
  <c r="D3" i="7" s="1"/>
  <c r="A1" i="7"/>
  <c r="A3" i="5"/>
  <c r="B3" i="5" s="1"/>
  <c r="A2" i="5" l="1"/>
  <c r="A1" i="5"/>
  <c r="D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5265697-B010-4F5A-B9B0-A5183B4D929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E36C31B-8519-4F3C-942B-7439279AB31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<sst xmlns="http://schemas.openxmlformats.org/spreadsheetml/2006/main" count="126" uniqueCount="90">
  <si>
    <t>All_NRGs</t>
  </si>
  <si>
    <t>CO2_MTons</t>
  </si>
  <si>
    <t>Year</t>
  </si>
  <si>
    <t>Entire US</t>
  </si>
  <si>
    <t>Cases</t>
  </si>
  <si>
    <t>Cheap_Nuclear 3_Qtr_Cap CO2_200_0</t>
  </si>
  <si>
    <t>Cheap_Nuclear\3_Qtr_Cap\Constant_CO2\Lib-3_Qtr_Cap-CO2_200_0-Nuke_Cap$_0.75_1.xlsm</t>
  </si>
  <si>
    <t>Cheap_Nuclear Half_Cap CO2_200_0</t>
  </si>
  <si>
    <t>Cheap_Nuclear\Half_Cap\Constant_CO2\Lib-Half_Cap-CO2_200_0-Nuke_Cap$_0.5_1.xlsm</t>
  </si>
  <si>
    <t>Default Default CO2_200_0</t>
  </si>
  <si>
    <t>Default\Default\Constant_CO2\Lib-Default-CO2_200_0.xlsm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</si>
  <si>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</si>
  <si>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</si>
  <si>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</si>
  <si>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</si>
  <si>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</si>
  <si>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</si>
  <si>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</si>
  <si>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</si>
  <si>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</si>
  <si>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</si>
  <si>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</si>
  <si>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</si>
  <si>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</si>
  <si>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</si>
  <si>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</si>
  <si>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</si>
  <si>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</si>
  <si>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</si>
  <si>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</si>
  <si>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</si>
  <si>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US</t>
  </si>
  <si>
    <t>Capacity</t>
  </si>
  <si>
    <t>GW</t>
  </si>
  <si>
    <t>Solar</t>
  </si>
  <si>
    <t>-&lt;0&gt;-</t>
  </si>
  <si>
    <t>California</t>
  </si>
  <si>
    <t>CAL</t>
  </si>
  <si>
    <t>Energy</t>
  </si>
  <si>
    <t>TWh</t>
  </si>
  <si>
    <t>Wind</t>
  </si>
  <si>
    <t>Default</t>
  </si>
  <si>
    <t>Nominal</t>
  </si>
  <si>
    <t>Carolinas</t>
  </si>
  <si>
    <t>CAR</t>
  </si>
  <si>
    <t>Supply</t>
  </si>
  <si>
    <t>Nuclear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</si>
  <si>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</si>
  <si>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</si>
  <si>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</si>
  <si>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</si>
  <si>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</si>
  <si>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</si>
  <si>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</si>
  <si>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</si>
  <si>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</si>
  <si>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Gas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</si>
  <si>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</si>
  <si>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</si>
  <si>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</si>
  <si>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</si>
  <si>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</si>
  <si>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</si>
  <si>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</si>
  <si>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</si>
  <si>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Coal</t>
  </si>
  <si>
    <t>`</t>
  </si>
  <si>
    <t>Double_All</t>
  </si>
  <si>
    <t>By 2x</t>
  </si>
  <si>
    <t>Coal_Grow_2_1-Gas_Grow_2_1-Nuke_Grow_2_1-Solar_Grow_2_1-Batt_Grow_2_1-Wind_Grow_2_1</t>
  </si>
  <si>
    <t>Mid Atlantic</t>
  </si>
  <si>
    <t>MIDA</t>
  </si>
  <si>
    <t>MTons</t>
  </si>
  <si>
    <t>Storage</t>
  </si>
  <si>
    <t>Mid West</t>
  </si>
  <si>
    <t>MIDW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</si>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</sst>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3" fontId="0" fillId="0" borderId="0" xfId="0" applyNumberFormat="1" applyAlignment="1" applyProtection="1">
      <alignment horizontal="center" wrapText="1"/>
      <protection locked="0"/>
    </xf>
    <xf numFmtId="3" fontId="0" fillId="0" borderId="0" xfId="0" applyNumberFormat="1" applyAlignment="1">
      <alignment wrapText="1"/>
    </xf>
    <xf numFmtId="3" fontId="0" fillId="0" borderId="0" xfId="0" applyNumberFormat="1" applyAlignment="1" applyProtection="1">
      <alignment wrapText="1"/>
      <protection locked="0"/>
    </xf>
    <xf numFmtId="3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Entire US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33617232312E-2"/>
          <c:y val="0.15319444444444447"/>
          <c:w val="0.6374246675388149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Calc!$E$5</c:f>
              <c:strCache>
                <c:ptCount val="1"/>
                <c:pt idx="0">
                  <c:v>Default Default CO2_200_0</c:v>
                </c:pt>
              </c:strCache>
            </c:strRef>
          </c:tx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Calc!$E$6:$E$33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1356.4876194999997</c:v>
                </c:pt>
                <c:pt idx="2">
                  <c:v>1298.7536979900001</c:v>
                </c:pt>
                <c:pt idx="3">
                  <c:v>1259.69634301</c:v>
                </c:pt>
                <c:pt idx="4">
                  <c:v>1223.1348210499998</c:v>
                </c:pt>
                <c:pt idx="5">
                  <c:v>1164.61329748</c:v>
                </c:pt>
                <c:pt idx="6">
                  <c:v>1108.3676790600002</c:v>
                </c:pt>
                <c:pt idx="7">
                  <c:v>1104.4666666099999</c:v>
                </c:pt>
                <c:pt idx="8">
                  <c:v>1115.9785238899997</c:v>
                </c:pt>
                <c:pt idx="9">
                  <c:v>1139.92055725</c:v>
                </c:pt>
                <c:pt idx="10">
                  <c:v>1162.1106993800001</c:v>
                </c:pt>
                <c:pt idx="11">
                  <c:v>1184.7200197499999</c:v>
                </c:pt>
                <c:pt idx="12">
                  <c:v>1208.7317025999998</c:v>
                </c:pt>
                <c:pt idx="13">
                  <c:v>1233.1376129600001</c:v>
                </c:pt>
                <c:pt idx="14">
                  <c:v>1258.74347926</c:v>
                </c:pt>
                <c:pt idx="15">
                  <c:v>1287.04296783</c:v>
                </c:pt>
                <c:pt idx="16">
                  <c:v>1315.0874184699999</c:v>
                </c:pt>
                <c:pt idx="17">
                  <c:v>1341.6008922400001</c:v>
                </c:pt>
                <c:pt idx="18">
                  <c:v>1369.35026182</c:v>
                </c:pt>
                <c:pt idx="19">
                  <c:v>1396.3911396599999</c:v>
                </c:pt>
                <c:pt idx="20">
                  <c:v>1424.68165017</c:v>
                </c:pt>
                <c:pt idx="21">
                  <c:v>1452.93284801</c:v>
                </c:pt>
                <c:pt idx="22">
                  <c:v>1481.7926403400004</c:v>
                </c:pt>
                <c:pt idx="23">
                  <c:v>1514.4902548099999</c:v>
                </c:pt>
                <c:pt idx="24">
                  <c:v>1548.3577618600002</c:v>
                </c:pt>
                <c:pt idx="25">
                  <c:v>1581.2150941900002</c:v>
                </c:pt>
                <c:pt idx="26">
                  <c:v>1613.6161245599997</c:v>
                </c:pt>
                <c:pt idx="27">
                  <c:v>1646.8212507000001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ser>
          <c:idx val="0"/>
          <c:order val="1"/>
          <c:tx>
            <c:strRef>
              <c:f>Calc!$D$5</c:f>
              <c:strCache>
                <c:ptCount val="1"/>
                <c:pt idx="0">
                  <c:v>Cheap_Nuclear Half_Cap CO2_200_0</c:v>
                </c:pt>
              </c:strCache>
            </c:strRef>
          </c:tx>
          <c:marker>
            <c:symbol val="none"/>
          </c:marker>
          <c:val>
            <c:numRef>
              <c:f>Calc!$D$6:$D$33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1264.4824927999998</c:v>
                </c:pt>
                <c:pt idx="2">
                  <c:v>1116.3957430299999</c:v>
                </c:pt>
                <c:pt idx="3">
                  <c:v>975.39796041000011</c:v>
                </c:pt>
                <c:pt idx="4">
                  <c:v>840.70029491999992</c:v>
                </c:pt>
                <c:pt idx="5">
                  <c:v>740.9206633199999</c:v>
                </c:pt>
                <c:pt idx="6">
                  <c:v>666.81525013000009</c:v>
                </c:pt>
                <c:pt idx="7">
                  <c:v>598.08587066999985</c:v>
                </c:pt>
                <c:pt idx="8">
                  <c:v>533.18596029000014</c:v>
                </c:pt>
                <c:pt idx="9">
                  <c:v>484.34764423000007</c:v>
                </c:pt>
                <c:pt idx="10">
                  <c:v>455.03574900000007</c:v>
                </c:pt>
                <c:pt idx="11">
                  <c:v>429.67711768999999</c:v>
                </c:pt>
                <c:pt idx="12">
                  <c:v>405.95951528000001</c:v>
                </c:pt>
                <c:pt idx="13">
                  <c:v>385.28109330000001</c:v>
                </c:pt>
                <c:pt idx="14">
                  <c:v>372.68313225000009</c:v>
                </c:pt>
                <c:pt idx="15">
                  <c:v>376.62360759000001</c:v>
                </c:pt>
                <c:pt idx="16">
                  <c:v>384.42187203999998</c:v>
                </c:pt>
                <c:pt idx="17">
                  <c:v>390.03723775000009</c:v>
                </c:pt>
                <c:pt idx="18">
                  <c:v>402.49669015000001</c:v>
                </c:pt>
                <c:pt idx="19">
                  <c:v>421.11424312000003</c:v>
                </c:pt>
                <c:pt idx="20">
                  <c:v>423.63283273999997</c:v>
                </c:pt>
                <c:pt idx="21">
                  <c:v>430.43491720999998</c:v>
                </c:pt>
                <c:pt idx="22">
                  <c:v>437.54326717000004</c:v>
                </c:pt>
                <c:pt idx="23">
                  <c:v>441.22160812999999</c:v>
                </c:pt>
                <c:pt idx="24">
                  <c:v>444.49296865000002</c:v>
                </c:pt>
                <c:pt idx="25">
                  <c:v>450.07317658000005</c:v>
                </c:pt>
                <c:pt idx="26">
                  <c:v>478.26915523999998</c:v>
                </c:pt>
                <c:pt idx="27">
                  <c:v>509.89725483999996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C-4A5F-ADDD-8246EA6498C9}"/>
            </c:ext>
          </c:extLst>
        </c:ser>
        <c:ser>
          <c:idx val="2"/>
          <c:order val="2"/>
          <c:tx>
            <c:strRef>
              <c:f>Calc!$C$5</c:f>
              <c:strCache>
                <c:ptCount val="1"/>
                <c:pt idx="0">
                  <c:v>Cheap_Nuclear 3_Qtr_Cap CO2_200_0</c:v>
                </c:pt>
              </c:strCache>
            </c:strRef>
          </c:tx>
          <c:marker>
            <c:symbol val="none"/>
          </c:marker>
          <c:val>
            <c:numRef>
              <c:f>Calc!$C$6:$C$33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1271.58222879</c:v>
                </c:pt>
                <c:pt idx="2">
                  <c:v>1125.40426561</c:v>
                </c:pt>
                <c:pt idx="3">
                  <c:v>999.03138747999992</c:v>
                </c:pt>
                <c:pt idx="4">
                  <c:v>897.39868179000007</c:v>
                </c:pt>
                <c:pt idx="5">
                  <c:v>823.51385230999995</c:v>
                </c:pt>
                <c:pt idx="6">
                  <c:v>783.2552054099998</c:v>
                </c:pt>
                <c:pt idx="7">
                  <c:v>749.43333352999991</c:v>
                </c:pt>
                <c:pt idx="8">
                  <c:v>718.07590009000023</c:v>
                </c:pt>
                <c:pt idx="9">
                  <c:v>703.78665392000028</c:v>
                </c:pt>
                <c:pt idx="10">
                  <c:v>700.10793034000005</c:v>
                </c:pt>
                <c:pt idx="11">
                  <c:v>714.39903290999996</c:v>
                </c:pt>
                <c:pt idx="12">
                  <c:v>729.50925657000005</c:v>
                </c:pt>
                <c:pt idx="13">
                  <c:v>739.25026597000021</c:v>
                </c:pt>
                <c:pt idx="14">
                  <c:v>752.63935015999994</c:v>
                </c:pt>
                <c:pt idx="15">
                  <c:v>785.21960626999987</c:v>
                </c:pt>
                <c:pt idx="16">
                  <c:v>814.42439561999993</c:v>
                </c:pt>
                <c:pt idx="17">
                  <c:v>841.20472742000015</c:v>
                </c:pt>
                <c:pt idx="18">
                  <c:v>866.08346912000002</c:v>
                </c:pt>
                <c:pt idx="19">
                  <c:v>888.4301591200001</c:v>
                </c:pt>
                <c:pt idx="20">
                  <c:v>909.77046588999997</c:v>
                </c:pt>
                <c:pt idx="21">
                  <c:v>934.60553641999991</c:v>
                </c:pt>
                <c:pt idx="22">
                  <c:v>958.47708249000016</c:v>
                </c:pt>
                <c:pt idx="23">
                  <c:v>983.7518177899999</c:v>
                </c:pt>
                <c:pt idx="24">
                  <c:v>1013.9319616600001</c:v>
                </c:pt>
                <c:pt idx="25">
                  <c:v>1043.4817190599999</c:v>
                </c:pt>
                <c:pt idx="26">
                  <c:v>1071.6951965200001</c:v>
                </c:pt>
                <c:pt idx="27">
                  <c:v>1104.77959657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8C-4A5F-ADDD-8246EA649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Entire US - CO2_MTons (MTons) - Year 27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67780718886937663"/>
          <c:h val="0.6101473412522807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f>Calc_1y!$B$6:$B$8</c:f>
              <c:strCache>
                <c:ptCount val="3"/>
                <c:pt idx="0">
                  <c:v>Cheap_Nuclear 3_Qtr_Cap CO2_200_0</c:v>
                </c:pt>
                <c:pt idx="1">
                  <c:v>Cheap_Nuclear Half_Cap CO2_200_0</c:v>
                </c:pt>
                <c:pt idx="2">
                  <c:v>Default Default CO2_200_0</c:v>
                </c:pt>
              </c:strCache>
            </c:strRef>
          </c:cat>
          <c:val>
            <c:numRef>
              <c:f>Calc_1y!$C$6:$C$8</c:f>
              <c:numCache>
                <c:formatCode>#,##0</c:formatCode>
                <c:ptCount val="3"/>
                <c:pt idx="0">
                  <c:v>1.4830336299999998</c:v>
                </c:pt>
                <c:pt idx="1">
                  <c:v>1.22389824</c:v>
                </c:pt>
                <c:pt idx="2">
                  <c:v>1.9727629400000002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</c:spPr>
          <c:invertIfNegative val="0"/>
          <c:cat>
            <c:strRef>
              <c:f>Calc_1y!$B$6:$B$8</c:f>
              <c:strCache>
                <c:ptCount val="3"/>
                <c:pt idx="0">
                  <c:v>Cheap_Nuclear 3_Qtr_Cap CO2_200_0</c:v>
                </c:pt>
                <c:pt idx="1">
                  <c:v>Cheap_Nuclear Half_Cap CO2_200_0</c:v>
                </c:pt>
                <c:pt idx="2">
                  <c:v>Default Default CO2_200_0</c:v>
                </c:pt>
              </c:strCache>
            </c:strRef>
          </c:cat>
          <c:val>
            <c:numRef>
              <c:f>Calc_1y!$D$6:$D$8</c:f>
              <c:numCache>
                <c:formatCode>#,##0</c:formatCode>
                <c:ptCount val="3"/>
                <c:pt idx="0">
                  <c:v>7.6740240799999988</c:v>
                </c:pt>
                <c:pt idx="1">
                  <c:v>3.2335969400000004</c:v>
                </c:pt>
                <c:pt idx="2">
                  <c:v>8.2257573699999984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strRef>
              <c:f>Calc_1y!$B$6:$B$8</c:f>
              <c:strCache>
                <c:ptCount val="3"/>
                <c:pt idx="0">
                  <c:v>Cheap_Nuclear 3_Qtr_Cap CO2_200_0</c:v>
                </c:pt>
                <c:pt idx="1">
                  <c:v>Cheap_Nuclear Half_Cap CO2_200_0</c:v>
                </c:pt>
                <c:pt idx="2">
                  <c:v>Default Default CO2_200_0</c:v>
                </c:pt>
              </c:strCache>
            </c:strRef>
          </c:cat>
          <c:val>
            <c:numRef>
              <c:f>Calc_1y!$E$6:$E$8</c:f>
              <c:numCache>
                <c:formatCode>#,##0</c:formatCode>
                <c:ptCount val="3"/>
                <c:pt idx="0">
                  <c:v>6.0911427299999996</c:v>
                </c:pt>
                <c:pt idx="1">
                  <c:v>13.55043592</c:v>
                </c:pt>
                <c:pt idx="2">
                  <c:v>1.9474046400000002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f>Calc_1y!$B$6:$B$8</c:f>
              <c:strCache>
                <c:ptCount val="3"/>
                <c:pt idx="0">
                  <c:v>Cheap_Nuclear 3_Qtr_Cap CO2_200_0</c:v>
                </c:pt>
                <c:pt idx="1">
                  <c:v>Cheap_Nuclear Half_Cap CO2_200_0</c:v>
                </c:pt>
                <c:pt idx="2">
                  <c:v>Default Default CO2_200_0</c:v>
                </c:pt>
              </c:strCache>
            </c:strRef>
          </c:cat>
          <c:val>
            <c:numRef>
              <c:f>Calc_1y!$F$6:$F$8</c:f>
              <c:numCache>
                <c:formatCode>#,##0</c:formatCode>
                <c:ptCount val="3"/>
                <c:pt idx="0">
                  <c:v>1056.4409777600001</c:v>
                </c:pt>
                <c:pt idx="1">
                  <c:v>460.22000602999998</c:v>
                </c:pt>
                <c:pt idx="2">
                  <c:v>1601.3462636499996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strRef>
              <c:f>Calc_1y!$B$6:$B$8</c:f>
              <c:strCache>
                <c:ptCount val="3"/>
                <c:pt idx="0">
                  <c:v>Cheap_Nuclear 3_Qtr_Cap CO2_200_0</c:v>
                </c:pt>
                <c:pt idx="1">
                  <c:v>Cheap_Nuclear Half_Cap CO2_200_0</c:v>
                </c:pt>
                <c:pt idx="2">
                  <c:v>Default Default CO2_200_0</c:v>
                </c:pt>
              </c:strCache>
            </c:strRef>
          </c:cat>
          <c:val>
            <c:numRef>
              <c:f>Calc_1y!$G$6:$G$8</c:f>
              <c:numCache>
                <c:formatCode>#,##0</c:formatCode>
                <c:ptCount val="3"/>
                <c:pt idx="0">
                  <c:v>5.9793399999999997E-3</c:v>
                </c:pt>
                <c:pt idx="1">
                  <c:v>4.1147099999999999E-2</c:v>
                </c:pt>
                <c:pt idx="2">
                  <c:v>0.12385866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strRef>
              <c:f>Calc_1y!$B$6:$B$8</c:f>
              <c:strCache>
                <c:ptCount val="3"/>
                <c:pt idx="0">
                  <c:v>Cheap_Nuclear 3_Qtr_Cap CO2_200_0</c:v>
                </c:pt>
                <c:pt idx="1">
                  <c:v>Cheap_Nuclear Half_Cap CO2_200_0</c:v>
                </c:pt>
                <c:pt idx="2">
                  <c:v>Default Default CO2_200_0</c:v>
                </c:pt>
              </c:strCache>
            </c:strRef>
          </c:cat>
          <c:val>
            <c:numRef>
              <c:f>Calc_1y!$H$6:$H$8</c:f>
              <c:numCache>
                <c:formatCode>#,##0</c:formatCode>
                <c:ptCount val="3"/>
                <c:pt idx="0">
                  <c:v>3.8980000000000003E-5</c:v>
                </c:pt>
                <c:pt idx="1">
                  <c:v>7.1009999999999999E-5</c:v>
                </c:pt>
                <c:pt idx="2">
                  <c:v>7.7300000000000009E-5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17688</xdr:rowOff>
    </xdr:from>
    <xdr:to>
      <xdr:col>13</xdr:col>
      <xdr:colOff>478972</xdr:colOff>
      <xdr:row>20</xdr:row>
      <xdr:rowOff>171450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CCL_Share\Library\Cheap_Nuclear\3_Qtr_Cap\Constant_CO2\Lib-3_Qtr_Cap-CO2_200_0-Nuke_Cap$_0.75_1.xlsm" TargetMode="External"/><Relationship Id="rId1" Type="http://schemas.openxmlformats.org/officeDocument/2006/relationships/externalLinkPath" Target="file:///C:\Users\cliff\OneDrive\Documents\GenAtomic\Shared\CCL_Share\Library\Cheap_Nuclear\3_Qtr_Cap\Constant_CO2\Lib-3_Qtr_Cap-CO2_200_0-Nuke_Cap$_0.75_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CCL_Share\Library\Cheap_Nuclear\Half_Cap\Constant_CO2\Lib-Half_Cap-CO2_200_0-Nuke_Cap$_0.5_1.xlsm" TargetMode="External"/><Relationship Id="rId1" Type="http://schemas.openxmlformats.org/officeDocument/2006/relationships/externalLinkPath" Target="file:///C:\Users\cliff\OneDrive\Documents\GenAtomic\Shared\CCL_Share\Library\Cheap_Nuclear\Half_Cap\Constant_CO2\Lib-Half_Cap-CO2_200_0-Nuke_Cap$_0.5_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Shared\CCL_Share\Library\Default\Default\Constant_CO2\Lib-Default-CO2_200_0.xlsm" TargetMode="External"/><Relationship Id="rId1" Type="http://schemas.openxmlformats.org/officeDocument/2006/relationships/externalLinkPath" Target="file:///C:\Users\cliff\OneDrive\Documents\GenAtomic\Shared\CCL_Share\Library\Default\Default\Constant_CO2\Lib-Default-CO2_200_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Inbox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/>
      <sheetData sheetId="3">
        <row r="5">
          <cell r="J5">
            <v>1324139.0711098104</v>
          </cell>
        </row>
      </sheetData>
      <sheetData sheetId="4">
        <row r="5">
          <cell r="J5">
            <v>74981.333494199993</v>
          </cell>
        </row>
      </sheetData>
      <sheetData sheetId="5">
        <row r="5">
          <cell r="J5">
            <v>65025.933145520001</v>
          </cell>
        </row>
      </sheetData>
      <sheetData sheetId="6">
        <row r="5">
          <cell r="J5">
            <v>115489.4601183</v>
          </cell>
        </row>
      </sheetData>
      <sheetData sheetId="7">
        <row r="5">
          <cell r="J5">
            <v>87381.732400399997</v>
          </cell>
        </row>
      </sheetData>
      <sheetData sheetId="8">
        <row r="5">
          <cell r="J5">
            <v>278425.89380977</v>
          </cell>
        </row>
      </sheetData>
      <sheetData sheetId="9">
        <row r="5">
          <cell r="J5">
            <v>247098.82757930001</v>
          </cell>
        </row>
      </sheetData>
      <sheetData sheetId="10">
        <row r="5">
          <cell r="J5">
            <v>29551.125677489999</v>
          </cell>
        </row>
      </sheetData>
      <sheetData sheetId="11">
        <row r="5">
          <cell r="J5">
            <v>30807.45245741</v>
          </cell>
        </row>
      </sheetData>
      <sheetData sheetId="12">
        <row r="5">
          <cell r="J5">
            <v>94398.530998150003</v>
          </cell>
        </row>
      </sheetData>
      <sheetData sheetId="13">
        <row r="5">
          <cell r="J5">
            <v>77481.039852429996</v>
          </cell>
        </row>
      </sheetData>
      <sheetData sheetId="14">
        <row r="5">
          <cell r="J5">
            <v>40187.677189039998</v>
          </cell>
        </row>
      </sheetData>
      <sheetData sheetId="15">
        <row r="5">
          <cell r="J5">
            <v>37682.846159089997</v>
          </cell>
        </row>
      </sheetData>
      <sheetData sheetId="16">
        <row r="5">
          <cell r="J5">
            <v>145627.21822871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Inbox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/>
      <sheetData sheetId="3">
        <row r="5">
          <cell r="J5">
            <v>1352567.2746046798</v>
          </cell>
        </row>
      </sheetData>
      <sheetData sheetId="4">
        <row r="5">
          <cell r="J5">
            <v>74194.710329590001</v>
          </cell>
        </row>
      </sheetData>
      <sheetData sheetId="5">
        <row r="5">
          <cell r="J5">
            <v>64483.426608399997</v>
          </cell>
        </row>
      </sheetData>
      <sheetData sheetId="6">
        <row r="5">
          <cell r="J5">
            <v>120919.93340934999</v>
          </cell>
        </row>
      </sheetData>
      <sheetData sheetId="7">
        <row r="5">
          <cell r="J5">
            <v>86716.695685269995</v>
          </cell>
        </row>
      </sheetData>
      <sheetData sheetId="8">
        <row r="5">
          <cell r="J5">
            <v>293007.66738479002</v>
          </cell>
        </row>
      </sheetData>
      <sheetData sheetId="9">
        <row r="5">
          <cell r="J5">
            <v>247069.33484113001</v>
          </cell>
        </row>
      </sheetData>
      <sheetData sheetId="10">
        <row r="5">
          <cell r="J5">
            <v>29133.30284398</v>
          </cell>
        </row>
      </sheetData>
      <sheetData sheetId="11">
        <row r="5">
          <cell r="J5">
            <v>33565.701133160001</v>
          </cell>
        </row>
      </sheetData>
      <sheetData sheetId="12">
        <row r="5">
          <cell r="J5">
            <v>102477.52532507</v>
          </cell>
        </row>
      </sheetData>
      <sheetData sheetId="13">
        <row r="5">
          <cell r="J5">
            <v>77480.748054630007</v>
          </cell>
        </row>
      </sheetData>
      <sheetData sheetId="14">
        <row r="5">
          <cell r="J5">
            <v>41594.362314919999</v>
          </cell>
        </row>
      </sheetData>
      <sheetData sheetId="15">
        <row r="5">
          <cell r="J5">
            <v>37668.830130609997</v>
          </cell>
        </row>
      </sheetData>
      <sheetData sheetId="16">
        <row r="5">
          <cell r="J5">
            <v>144255.03654378001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Inbox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/>
      <sheetData sheetId="3">
        <row r="5">
          <cell r="J5">
            <v>1320453.0906790402</v>
          </cell>
        </row>
      </sheetData>
      <sheetData sheetId="4">
        <row r="5">
          <cell r="J5">
            <v>84327.698787479996</v>
          </cell>
        </row>
      </sheetData>
      <sheetData sheetId="5">
        <row r="5">
          <cell r="J5">
            <v>62888.975990829997</v>
          </cell>
        </row>
      </sheetData>
      <sheetData sheetId="6">
        <row r="5">
          <cell r="J5">
            <v>113501.12922646001</v>
          </cell>
        </row>
      </sheetData>
      <sheetData sheetId="7">
        <row r="5">
          <cell r="J5">
            <v>82269.923059020002</v>
          </cell>
        </row>
      </sheetData>
      <sheetData sheetId="8">
        <row r="5">
          <cell r="J5">
            <v>273248.08709787001</v>
          </cell>
        </row>
      </sheetData>
      <sheetData sheetId="9">
        <row r="5">
          <cell r="J5">
            <v>241820.46157332999</v>
          </cell>
        </row>
      </sheetData>
      <sheetData sheetId="10">
        <row r="5">
          <cell r="J5">
            <v>29339.801018999999</v>
          </cell>
        </row>
      </sheetData>
      <sheetData sheetId="11">
        <row r="5">
          <cell r="J5">
            <v>30795.738213699999</v>
          </cell>
        </row>
      </sheetData>
      <sheetData sheetId="12">
        <row r="5">
          <cell r="J5">
            <v>96479.094506359994</v>
          </cell>
        </row>
      </sheetData>
      <sheetData sheetId="13">
        <row r="5">
          <cell r="J5">
            <v>74674.682755960006</v>
          </cell>
        </row>
      </sheetData>
      <sheetData sheetId="14">
        <row r="5">
          <cell r="J5">
            <v>42854.770340590003</v>
          </cell>
        </row>
      </sheetData>
      <sheetData sheetId="15">
        <row r="5">
          <cell r="J5">
            <v>34872.422355729999</v>
          </cell>
        </row>
      </sheetData>
      <sheetData sheetId="16">
        <row r="5">
          <cell r="J5">
            <v>153380.30575271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zoomScaleNormal="100" workbookViewId="0">
      <selection activeCell="A11" sqref="A11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3" t="s">
        <v>0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tabSelected="1"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3</v>
      </c>
    </row>
    <row r="2" spans="1:11" x14ac:dyDescent="0.85">
      <c r="A2" s="3" t="s">
        <v>1</v>
      </c>
      <c r="D2" s="10"/>
      <c r="E2" s="11"/>
      <c r="F2" s="11"/>
      <c r="G2" s="11"/>
      <c r="H2" s="11"/>
      <c r="I2" s="11"/>
      <c r="J2" s="11"/>
      <c r="K2" s="11"/>
    </row>
    <row r="3" spans="1:11" x14ac:dyDescent="0.85">
      <c r="A3" s="2" t="s">
        <v>2</v>
      </c>
      <c r="B3" s="3">
        <v>27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A5" sqref="A5:XFD5"/>
    </sheetView>
  </sheetViews>
  <sheetFormatPr defaultColWidth="15.03515625" defaultRowHeight="14.6" x14ac:dyDescent="0.85"/>
  <cols>
    <col min="1" max="1" width="15.03515625" style="1"/>
    <col min="2" max="2" width="4.19140625" style="4" bestFit="1" customWidth="1"/>
    <col min="3" max="26" width="15.03515625" style="4"/>
    <col min="27" max="16384" width="15.03515625" style="1"/>
  </cols>
  <sheetData>
    <row r="1" spans="1:26" ht="14.65" x14ac:dyDescent="0.85">
      <c r="A1" s="1" t="str">
        <f>Graph!$A$1</f>
        <v>Entire US</v>
      </c>
    </row>
    <row r="2" spans="1:26" ht="14.65" x14ac:dyDescent="0.85">
      <c r="A2" s="1" t="str">
        <f>Graph!$A$2</f>
        <v>CO2_MTons</v>
      </c>
    </row>
    <row r="3" spans="1:26" ht="14.65" x14ac:dyDescent="0.85">
      <c r="A3" s="1" t="str">
        <f>Graph!$A$3</f>
        <v>All_NRGs</v>
      </c>
      <c r="B3" s="1">
        <f>VLOOKUP($A$3,NRG_Table,3,FALSE)</f>
        <v>7</v>
      </c>
      <c r="D3" s="7" t="str">
        <f>$A$1 &amp; " - " &amp; $A$2 &amp; " (" &amp; VLOOKUP(A2,Param_Table,3,FALSE) &amp; ") - " &amp; A3</f>
        <v>Entire US - CO2_MTons (MTons) - All_NRGs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26" ht="14.65" x14ac:dyDescent="0.85"/>
    <row r="5" spans="1:26" s="8" customFormat="1" ht="43.75" x14ac:dyDescent="0.85">
      <c r="B5" s="9" t="s">
        <v>2</v>
      </c>
      <c r="C5" s="9" t="s">
        <v>5</v>
      </c>
      <c r="D5" s="9" t="s">
        <v>7</v>
      </c>
      <c r="E5" s="9" t="s">
        <v>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4.65" x14ac:dyDescent="0.85">
      <c r="B6" s="4">
        <v>0</v>
      </c>
      <c r="C6" s="4">
        <f ca="1">OFFSET([1]!Table_Corner, 1,Selected_NRG)</f>
        <v>1414.2395687399999</v>
      </c>
      <c r="D6" s="4">
        <f ca="1">OFFSET([2]!Table_Corner, 1,Selected_NRG)</f>
        <v>1414.2395687399999</v>
      </c>
      <c r="E6" s="4">
        <f ca="1">OFFSET([3]!Table_Corner, 1,Selected_NRG)</f>
        <v>1414.2395687399999</v>
      </c>
    </row>
    <row r="7" spans="1:26" ht="14.65" x14ac:dyDescent="0.85">
      <c r="B7" s="4">
        <v>1</v>
      </c>
      <c r="C7" s="4">
        <f ca="1">OFFSET([1]!Table_Corner, 2,Selected_NRG)</f>
        <v>1271.58222879</v>
      </c>
      <c r="D7" s="4">
        <f ca="1">OFFSET([2]!Table_Corner, 2,Selected_NRG)</f>
        <v>1264.4824927999998</v>
      </c>
      <c r="E7" s="4">
        <f ca="1">OFFSET([3]!Table_Corner, 2,Selected_NRG)</f>
        <v>1356.4876194999997</v>
      </c>
    </row>
    <row r="8" spans="1:26" ht="14.65" x14ac:dyDescent="0.85">
      <c r="B8" s="4">
        <v>2</v>
      </c>
      <c r="C8" s="4">
        <f ca="1">OFFSET([1]!Table_Corner, 3,Selected_NRG)</f>
        <v>1125.40426561</v>
      </c>
      <c r="D8" s="4">
        <f ca="1">OFFSET([2]!Table_Corner, 3,Selected_NRG)</f>
        <v>1116.3957430299999</v>
      </c>
      <c r="E8" s="4">
        <f ca="1">OFFSET([3]!Table_Corner, 3,Selected_NRG)</f>
        <v>1298.7536979900001</v>
      </c>
    </row>
    <row r="9" spans="1:26" ht="14.65" x14ac:dyDescent="0.85">
      <c r="B9" s="4">
        <v>3</v>
      </c>
      <c r="C9" s="4">
        <f ca="1">OFFSET([1]!Table_Corner, 4,Selected_NRG)</f>
        <v>999.03138747999992</v>
      </c>
      <c r="D9" s="4">
        <f ca="1">OFFSET([2]!Table_Corner, 4,Selected_NRG)</f>
        <v>975.39796041000011</v>
      </c>
      <c r="E9" s="4">
        <f ca="1">OFFSET([3]!Table_Corner, 4,Selected_NRG)</f>
        <v>1259.69634301</v>
      </c>
    </row>
    <row r="10" spans="1:26" ht="14.65" x14ac:dyDescent="0.85">
      <c r="B10" s="4">
        <v>4</v>
      </c>
      <c r="C10" s="4">
        <f ca="1">OFFSET([1]!Table_Corner, 5,Selected_NRG)</f>
        <v>897.39868179000007</v>
      </c>
      <c r="D10" s="4">
        <f ca="1">OFFSET([2]!Table_Corner, 5,Selected_NRG)</f>
        <v>840.70029491999992</v>
      </c>
      <c r="E10" s="4">
        <f ca="1">OFFSET([3]!Table_Corner, 5,Selected_NRG)</f>
        <v>1223.1348210499998</v>
      </c>
    </row>
    <row r="11" spans="1:26" ht="14.65" x14ac:dyDescent="0.85">
      <c r="B11" s="4">
        <v>5</v>
      </c>
      <c r="C11" s="4">
        <f ca="1">OFFSET([1]!Table_Corner, 6,Selected_NRG)</f>
        <v>823.51385230999995</v>
      </c>
      <c r="D11" s="4">
        <f ca="1">OFFSET([2]!Table_Corner, 6,Selected_NRG)</f>
        <v>740.9206633199999</v>
      </c>
      <c r="E11" s="4">
        <f ca="1">OFFSET([3]!Table_Corner, 6,Selected_NRG)</f>
        <v>1164.61329748</v>
      </c>
    </row>
    <row r="12" spans="1:26" ht="14.65" x14ac:dyDescent="0.85">
      <c r="B12" s="4">
        <v>6</v>
      </c>
      <c r="C12" s="4">
        <f ca="1">OFFSET([1]!Table_Corner, 7,Selected_NRG)</f>
        <v>783.2552054099998</v>
      </c>
      <c r="D12" s="4">
        <f ca="1">OFFSET([2]!Table_Corner, 7,Selected_NRG)</f>
        <v>666.81525013000009</v>
      </c>
      <c r="E12" s="4">
        <f ca="1">OFFSET([3]!Table_Corner, 7,Selected_NRG)</f>
        <v>1108.3676790600002</v>
      </c>
    </row>
    <row r="13" spans="1:26" ht="14.65" x14ac:dyDescent="0.85">
      <c r="B13" s="4">
        <v>7</v>
      </c>
      <c r="C13" s="4">
        <f ca="1">OFFSET([1]!Table_Corner, 8,Selected_NRG)</f>
        <v>749.43333352999991</v>
      </c>
      <c r="D13" s="4">
        <f ca="1">OFFSET([2]!Table_Corner, 8,Selected_NRG)</f>
        <v>598.08587066999985</v>
      </c>
      <c r="E13" s="4">
        <f ca="1">OFFSET([3]!Table_Corner, 8,Selected_NRG)</f>
        <v>1104.4666666099999</v>
      </c>
    </row>
    <row r="14" spans="1:26" ht="14.65" x14ac:dyDescent="0.85">
      <c r="B14" s="4">
        <v>8</v>
      </c>
      <c r="C14" s="4">
        <f ca="1">OFFSET([1]!Table_Corner, 9,Selected_NRG)</f>
        <v>718.07590009000023</v>
      </c>
      <c r="D14" s="4">
        <f ca="1">OFFSET([2]!Table_Corner, 9,Selected_NRG)</f>
        <v>533.18596029000014</v>
      </c>
      <c r="E14" s="4">
        <f ca="1">OFFSET([3]!Table_Corner, 9,Selected_NRG)</f>
        <v>1115.9785238899997</v>
      </c>
    </row>
    <row r="15" spans="1:26" ht="14.65" x14ac:dyDescent="0.85">
      <c r="B15" s="4">
        <v>9</v>
      </c>
      <c r="C15" s="4">
        <f ca="1">OFFSET([1]!Table_Corner, 10,Selected_NRG)</f>
        <v>703.78665392000028</v>
      </c>
      <c r="D15" s="4">
        <f ca="1">OFFSET([2]!Table_Corner, 10,Selected_NRG)</f>
        <v>484.34764423000007</v>
      </c>
      <c r="E15" s="4">
        <f ca="1">OFFSET([3]!Table_Corner, 10,Selected_NRG)</f>
        <v>1139.92055725</v>
      </c>
    </row>
    <row r="16" spans="1:26" ht="14.65" x14ac:dyDescent="0.85">
      <c r="B16" s="4">
        <v>10</v>
      </c>
      <c r="C16" s="4">
        <f ca="1">OFFSET([1]!Table_Corner, 11,Selected_NRG)</f>
        <v>700.10793034000005</v>
      </c>
      <c r="D16" s="4">
        <f ca="1">OFFSET([2]!Table_Corner, 11,Selected_NRG)</f>
        <v>455.03574900000007</v>
      </c>
      <c r="E16" s="4">
        <f ca="1">OFFSET([3]!Table_Corner, 11,Selected_NRG)</f>
        <v>1162.1106993800001</v>
      </c>
    </row>
    <row r="17" spans="2:5" ht="14.65" x14ac:dyDescent="0.85">
      <c r="B17" s="4">
        <v>11</v>
      </c>
      <c r="C17" s="4">
        <f ca="1">OFFSET([1]!Table_Corner, 12,Selected_NRG)</f>
        <v>714.39903290999996</v>
      </c>
      <c r="D17" s="4">
        <f ca="1">OFFSET([2]!Table_Corner, 12,Selected_NRG)</f>
        <v>429.67711768999999</v>
      </c>
      <c r="E17" s="4">
        <f ca="1">OFFSET([3]!Table_Corner, 12,Selected_NRG)</f>
        <v>1184.7200197499999</v>
      </c>
    </row>
    <row r="18" spans="2:5" ht="14.65" x14ac:dyDescent="0.85">
      <c r="B18" s="4">
        <v>12</v>
      </c>
      <c r="C18" s="4">
        <f ca="1">OFFSET([1]!Table_Corner, 13,Selected_NRG)</f>
        <v>729.50925657000005</v>
      </c>
      <c r="D18" s="4">
        <f ca="1">OFFSET([2]!Table_Corner, 13,Selected_NRG)</f>
        <v>405.95951528000001</v>
      </c>
      <c r="E18" s="4">
        <f ca="1">OFFSET([3]!Table_Corner, 13,Selected_NRG)</f>
        <v>1208.7317025999998</v>
      </c>
    </row>
    <row r="19" spans="2:5" ht="14.65" x14ac:dyDescent="0.85">
      <c r="B19" s="4">
        <v>13</v>
      </c>
      <c r="C19" s="4">
        <f ca="1">OFFSET([1]!Table_Corner, 14,Selected_NRG)</f>
        <v>739.25026597000021</v>
      </c>
      <c r="D19" s="4">
        <f ca="1">OFFSET([2]!Table_Corner, 14,Selected_NRG)</f>
        <v>385.28109330000001</v>
      </c>
      <c r="E19" s="4">
        <f ca="1">OFFSET([3]!Table_Corner, 14,Selected_NRG)</f>
        <v>1233.1376129600001</v>
      </c>
    </row>
    <row r="20" spans="2:5" ht="14.65" x14ac:dyDescent="0.85">
      <c r="B20" s="4">
        <v>14</v>
      </c>
      <c r="C20" s="4">
        <f ca="1">OFFSET([1]!Table_Corner, 15,Selected_NRG)</f>
        <v>752.63935015999994</v>
      </c>
      <c r="D20" s="4">
        <f ca="1">OFFSET([2]!Table_Corner, 15,Selected_NRG)</f>
        <v>372.68313225000009</v>
      </c>
      <c r="E20" s="4">
        <f ca="1">OFFSET([3]!Table_Corner, 15,Selected_NRG)</f>
        <v>1258.74347926</v>
      </c>
    </row>
    <row r="21" spans="2:5" ht="14.65" x14ac:dyDescent="0.85">
      <c r="B21" s="4">
        <v>15</v>
      </c>
      <c r="C21" s="4">
        <f ca="1">OFFSET([1]!Table_Corner, 16,Selected_NRG)</f>
        <v>785.21960626999987</v>
      </c>
      <c r="D21" s="4">
        <f ca="1">OFFSET([2]!Table_Corner, 16,Selected_NRG)</f>
        <v>376.62360759000001</v>
      </c>
      <c r="E21" s="4">
        <f ca="1">OFFSET([3]!Table_Corner, 16,Selected_NRG)</f>
        <v>1287.04296783</v>
      </c>
    </row>
    <row r="22" spans="2:5" x14ac:dyDescent="0.85">
      <c r="B22" s="4">
        <v>16</v>
      </c>
      <c r="C22" s="4">
        <f ca="1">OFFSET([1]!Table_Corner, 17,Selected_NRG)</f>
        <v>814.42439561999993</v>
      </c>
      <c r="D22" s="4">
        <f ca="1">OFFSET([2]!Table_Corner, 17,Selected_NRG)</f>
        <v>384.42187203999998</v>
      </c>
      <c r="E22" s="4">
        <f ca="1">OFFSET([3]!Table_Corner, 17,Selected_NRG)</f>
        <v>1315.0874184699999</v>
      </c>
    </row>
    <row r="23" spans="2:5" x14ac:dyDescent="0.85">
      <c r="B23" s="4">
        <v>17</v>
      </c>
      <c r="C23" s="4">
        <f ca="1">OFFSET([1]!Table_Corner, 18,Selected_NRG)</f>
        <v>841.20472742000015</v>
      </c>
      <c r="D23" s="4">
        <f ca="1">OFFSET([2]!Table_Corner, 18,Selected_NRG)</f>
        <v>390.03723775000009</v>
      </c>
      <c r="E23" s="4">
        <f ca="1">OFFSET([3]!Table_Corner, 18,Selected_NRG)</f>
        <v>1341.6008922400001</v>
      </c>
    </row>
    <row r="24" spans="2:5" x14ac:dyDescent="0.85">
      <c r="B24" s="4">
        <v>18</v>
      </c>
      <c r="C24" s="4">
        <f ca="1">OFFSET([1]!Table_Corner, 19,Selected_NRG)</f>
        <v>866.08346912000002</v>
      </c>
      <c r="D24" s="4">
        <f ca="1">OFFSET([2]!Table_Corner, 19,Selected_NRG)</f>
        <v>402.49669015000001</v>
      </c>
      <c r="E24" s="4">
        <f ca="1">OFFSET([3]!Table_Corner, 19,Selected_NRG)</f>
        <v>1369.35026182</v>
      </c>
    </row>
    <row r="25" spans="2:5" x14ac:dyDescent="0.85">
      <c r="B25" s="4">
        <v>19</v>
      </c>
      <c r="C25" s="4">
        <f ca="1">OFFSET([1]!Table_Corner, 20,Selected_NRG)</f>
        <v>888.4301591200001</v>
      </c>
      <c r="D25" s="4">
        <f ca="1">OFFSET([2]!Table_Corner, 20,Selected_NRG)</f>
        <v>421.11424312000003</v>
      </c>
      <c r="E25" s="4">
        <f ca="1">OFFSET([3]!Table_Corner, 20,Selected_NRG)</f>
        <v>1396.3911396599999</v>
      </c>
    </row>
    <row r="26" spans="2:5" x14ac:dyDescent="0.85">
      <c r="B26" s="4">
        <v>20</v>
      </c>
      <c r="C26" s="4">
        <f ca="1">OFFSET([1]!Table_Corner, 21,Selected_NRG)</f>
        <v>909.77046588999997</v>
      </c>
      <c r="D26" s="4">
        <f ca="1">OFFSET([2]!Table_Corner, 21,Selected_NRG)</f>
        <v>423.63283273999997</v>
      </c>
      <c r="E26" s="4">
        <f ca="1">OFFSET([3]!Table_Corner, 21,Selected_NRG)</f>
        <v>1424.68165017</v>
      </c>
    </row>
    <row r="27" spans="2:5" x14ac:dyDescent="0.85">
      <c r="B27" s="4">
        <v>21</v>
      </c>
      <c r="C27" s="4">
        <f ca="1">OFFSET([1]!Table_Corner, 22,Selected_NRG)</f>
        <v>934.60553641999991</v>
      </c>
      <c r="D27" s="4">
        <f ca="1">OFFSET([2]!Table_Corner, 22,Selected_NRG)</f>
        <v>430.43491720999998</v>
      </c>
      <c r="E27" s="4">
        <f ca="1">OFFSET([3]!Table_Corner, 22,Selected_NRG)</f>
        <v>1452.93284801</v>
      </c>
    </row>
    <row r="28" spans="2:5" x14ac:dyDescent="0.85">
      <c r="B28" s="4">
        <v>22</v>
      </c>
      <c r="C28" s="4">
        <f ca="1">OFFSET([1]!Table_Corner, 23,Selected_NRG)</f>
        <v>958.47708249000016</v>
      </c>
      <c r="D28" s="4">
        <f ca="1">OFFSET([2]!Table_Corner, 23,Selected_NRG)</f>
        <v>437.54326717000004</v>
      </c>
      <c r="E28" s="4">
        <f ca="1">OFFSET([3]!Table_Corner, 23,Selected_NRG)</f>
        <v>1481.7926403400004</v>
      </c>
    </row>
    <row r="29" spans="2:5" x14ac:dyDescent="0.85">
      <c r="B29" s="4">
        <v>23</v>
      </c>
      <c r="C29" s="4">
        <f ca="1">OFFSET([1]!Table_Corner, 24,Selected_NRG)</f>
        <v>983.7518177899999</v>
      </c>
      <c r="D29" s="4">
        <f ca="1">OFFSET([2]!Table_Corner, 24,Selected_NRG)</f>
        <v>441.22160812999999</v>
      </c>
      <c r="E29" s="4">
        <f ca="1">OFFSET([3]!Table_Corner, 24,Selected_NRG)</f>
        <v>1514.4902548099999</v>
      </c>
    </row>
    <row r="30" spans="2:5" x14ac:dyDescent="0.85">
      <c r="B30" s="4">
        <v>24</v>
      </c>
      <c r="C30" s="4">
        <f ca="1">OFFSET([1]!Table_Corner, 25,Selected_NRG)</f>
        <v>1013.9319616600001</v>
      </c>
      <c r="D30" s="4">
        <f ca="1">OFFSET([2]!Table_Corner, 25,Selected_NRG)</f>
        <v>444.49296865000002</v>
      </c>
      <c r="E30" s="4">
        <f ca="1">OFFSET([3]!Table_Corner, 25,Selected_NRG)</f>
        <v>1548.3577618600002</v>
      </c>
    </row>
    <row r="31" spans="2:5" x14ac:dyDescent="0.85">
      <c r="B31" s="4">
        <v>25</v>
      </c>
      <c r="C31" s="4">
        <f ca="1">OFFSET([1]!Table_Corner, 26,Selected_NRG)</f>
        <v>1043.4817190599999</v>
      </c>
      <c r="D31" s="4">
        <f ca="1">OFFSET([2]!Table_Corner, 26,Selected_NRG)</f>
        <v>450.07317658000005</v>
      </c>
      <c r="E31" s="4">
        <f ca="1">OFFSET([3]!Table_Corner, 26,Selected_NRG)</f>
        <v>1581.2150941900002</v>
      </c>
    </row>
    <row r="32" spans="2:5" x14ac:dyDescent="0.85">
      <c r="B32" s="4">
        <v>26</v>
      </c>
      <c r="C32" s="4">
        <f ca="1">OFFSET([1]!Table_Corner, 27,Selected_NRG)</f>
        <v>1071.6951965200001</v>
      </c>
      <c r="D32" s="4">
        <f ca="1">OFFSET([2]!Table_Corner, 27,Selected_NRG)</f>
        <v>478.26915523999998</v>
      </c>
      <c r="E32" s="4">
        <f ca="1">OFFSET([3]!Table_Corner, 27,Selected_NRG)</f>
        <v>1613.6161245599997</v>
      </c>
    </row>
    <row r="33" spans="2:5" x14ac:dyDescent="0.85">
      <c r="B33" s="4">
        <v>27</v>
      </c>
      <c r="C33" s="4">
        <f ca="1">OFFSET([1]!Table_Corner, 28,Selected_NRG)</f>
        <v>1104.77959657</v>
      </c>
      <c r="D33" s="4">
        <f ca="1">OFFSET([2]!Table_Corner, 28,Selected_NRG)</f>
        <v>509.89725483999996</v>
      </c>
      <c r="E33" s="4">
        <f ca="1">OFFSET([3]!Table_Corner, 28,Selected_NRG)</f>
        <v>1646.8212507000001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3" sqref="D3:Z3"/>
    </sheetView>
  </sheetViews>
  <sheetFormatPr defaultColWidth="15.03515625" defaultRowHeight="14.6" x14ac:dyDescent="0.85"/>
  <cols>
    <col min="1" max="1" width="15.03515625" style="1"/>
    <col min="2" max="2" width="12.8828125" style="4" customWidth="1"/>
    <col min="3" max="26" width="15.03515625" style="4"/>
    <col min="27" max="16384" width="15.03515625" style="1"/>
  </cols>
  <sheetData>
    <row r="1" spans="1:26" x14ac:dyDescent="0.85">
      <c r="A1" s="1" t="str">
        <f>Graph_1y!$A$1</f>
        <v>Entire US</v>
      </c>
    </row>
    <row r="2" spans="1:26" x14ac:dyDescent="0.85">
      <c r="A2" s="1" t="str">
        <f>Graph_1y!$A$2</f>
        <v>CO2_MTons</v>
      </c>
    </row>
    <row r="3" spans="1:26" x14ac:dyDescent="0.85">
      <c r="A3" s="1" t="s">
        <v>2</v>
      </c>
      <c r="B3" s="1">
        <f>Graph_1y!$B$3</f>
        <v>27</v>
      </c>
      <c r="D3" s="7" t="str">
        <f>$A$1 &amp; " - " &amp; $A$2 &amp; " (" &amp; VLOOKUP(A2,Param_Table,3,FALSE) &amp; ") - Year " &amp; $B$3</f>
        <v>Entire US - CO2_MTons (MTons) - Year 27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85"/>
    <row r="5" spans="1:26" x14ac:dyDescent="0.85">
      <c r="B5" s="4">
        <v>-1</v>
      </c>
      <c r="C5" s="4" t="str">
        <f ca="1">OFFSET([1]!Table_Corner, 0, 1)</f>
        <v>Solar</v>
      </c>
      <c r="D5" s="4" t="str">
        <f ca="1">OFFSET([1]!Table_Corner, 0, 2)</f>
        <v>Wind</v>
      </c>
      <c r="E5" s="4" t="str">
        <f ca="1">OFFSET([1]!Table_Corner, 0, 3)</f>
        <v>Nuclear</v>
      </c>
      <c r="F5" s="4" t="str">
        <f ca="1">OFFSET([1]!Table_Corner, 0, 4)</f>
        <v>Gas</v>
      </c>
      <c r="G5" s="4" t="str">
        <f ca="1">OFFSET([1]!Table_Corner, 0, 5)</f>
        <v>Coal</v>
      </c>
      <c r="H5" s="4" t="str">
        <f ca="1">OFFSET([1]!Table_Corner, 0, 6)</f>
        <v>Storage</v>
      </c>
    </row>
    <row r="6" spans="1:26" x14ac:dyDescent="0.85">
      <c r="B6" s="5" t="s">
        <v>5</v>
      </c>
      <c r="C6" s="4">
        <f ca="1">OFFSET([1]!Table_Corner, Selected_Year, 1)</f>
        <v>1.4830336299999998</v>
      </c>
      <c r="D6" s="4">
        <f ca="1">OFFSET([1]!Table_Corner, Selected_Year, 2)</f>
        <v>7.6740240799999988</v>
      </c>
      <c r="E6" s="4">
        <f ca="1">OFFSET([1]!Table_Corner, Selected_Year, 3)</f>
        <v>6.0911427299999996</v>
      </c>
      <c r="F6" s="4">
        <f ca="1">OFFSET([1]!Table_Corner, Selected_Year, 4)</f>
        <v>1056.4409777600001</v>
      </c>
      <c r="G6" s="4">
        <f ca="1">OFFSET([1]!Table_Corner, Selected_Year, 5)</f>
        <v>5.9793399999999997E-3</v>
      </c>
      <c r="H6" s="4">
        <f ca="1">OFFSET([1]!Table_Corner, Selected_Year, 6)</f>
        <v>3.8980000000000003E-5</v>
      </c>
    </row>
    <row r="7" spans="1:26" x14ac:dyDescent="0.85">
      <c r="B7" s="5" t="s">
        <v>7</v>
      </c>
      <c r="C7" s="4">
        <f ca="1">OFFSET([2]!Table_Corner, Selected_Year, 1)</f>
        <v>1.22389824</v>
      </c>
      <c r="D7" s="4">
        <f ca="1">OFFSET([2]!Table_Corner, Selected_Year, 2)</f>
        <v>3.2335969400000004</v>
      </c>
      <c r="E7" s="4">
        <f ca="1">OFFSET([2]!Table_Corner, Selected_Year, 3)</f>
        <v>13.55043592</v>
      </c>
      <c r="F7" s="4">
        <f ca="1">OFFSET([2]!Table_Corner, Selected_Year, 4)</f>
        <v>460.22000602999998</v>
      </c>
      <c r="G7" s="4">
        <f ca="1">OFFSET([2]!Table_Corner, Selected_Year, 5)</f>
        <v>4.1147099999999999E-2</v>
      </c>
      <c r="H7" s="4">
        <f ca="1">OFFSET([2]!Table_Corner, Selected_Year, 6)</f>
        <v>7.1009999999999999E-5</v>
      </c>
    </row>
    <row r="8" spans="1:26" x14ac:dyDescent="0.85">
      <c r="B8" s="5" t="s">
        <v>9</v>
      </c>
      <c r="C8" s="4">
        <f ca="1">OFFSET([3]!Table_Corner, Selected_Year, 1)</f>
        <v>1.9727629400000002</v>
      </c>
      <c r="D8" s="4">
        <f ca="1">OFFSET([3]!Table_Corner, Selected_Year, 2)</f>
        <v>8.2257573699999984</v>
      </c>
      <c r="E8" s="4">
        <f ca="1">OFFSET([3]!Table_Corner, Selected_Year, 3)</f>
        <v>1.9474046400000002</v>
      </c>
      <c r="F8" s="4">
        <f ca="1">OFFSET([3]!Table_Corner, Selected_Year, 4)</f>
        <v>1601.3462636499996</v>
      </c>
      <c r="G8" s="4">
        <f ca="1">OFFSET([3]!Table_Corner, Selected_Year, 5)</f>
        <v>0.12385866</v>
      </c>
      <c r="H8" s="4">
        <f ca="1">OFFSET([3]!Table_Corner, Selected_Year, 6)</f>
        <v>7.7300000000000009E-5</v>
      </c>
    </row>
    <row r="9" spans="1:26" x14ac:dyDescent="0.85">
      <c r="B9" s="5"/>
    </row>
    <row r="10" spans="1:26" x14ac:dyDescent="0.85">
      <c r="B10" s="5"/>
    </row>
    <row r="11" spans="1:26" x14ac:dyDescent="0.85">
      <c r="B11" s="5"/>
    </row>
    <row r="12" spans="1:26" x14ac:dyDescent="0.85"/>
    <row r="13" spans="1:26" x14ac:dyDescent="0.85"/>
    <row r="14" spans="1:26" x14ac:dyDescent="0.85"/>
    <row r="15" spans="1:26" x14ac:dyDescent="0.85"/>
    <row r="16" spans="1:26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F106"/>
  <sheetViews>
    <sheetView workbookViewId="0">
      <selection sqref="A1:F100"/>
    </sheetView>
  </sheetViews>
  <sheetFormatPr defaultRowHeight="14.6" x14ac:dyDescent="0.85"/>
  <cols>
    <col min="1" max="1" width="37.23046875" customWidth="1"/>
    <col min="2" max="2" width="18.19140625" customWidth="1"/>
    <col min="3" max="3" width="17.73046875" customWidth="1"/>
    <col min="4" max="4" width="42.61328125" customWidth="1"/>
  </cols>
  <sheetData>
    <row r="1" spans="1:6" x14ac:dyDescent="0.85">
      <c r="A1" s="6" t="s">
        <v>4</v>
      </c>
      <c r="B1">
        <v>3</v>
      </c>
    </row>
    <row r="2" spans="1:6" x14ac:dyDescent="0.85">
      <c r="A2" t="s">
        <v>5</v>
      </c>
      <c r="B2" s="12" t="s">
        <v>6</v>
      </c>
      <c r="C2" s="12"/>
      <c r="D2" s="12"/>
      <c r="E2" s="12"/>
      <c r="F2" s="12"/>
    </row>
    <row r="3" spans="1:6" x14ac:dyDescent="0.85">
      <c r="A3" t="s">
        <v>7</v>
      </c>
      <c r="B3" s="12" t="s">
        <v>8</v>
      </c>
      <c r="C3" s="12"/>
      <c r="D3" s="12"/>
      <c r="E3" s="12"/>
      <c r="F3" s="12"/>
    </row>
    <row r="4" spans="1:6" x14ac:dyDescent="0.85">
      <c r="A4" t="s">
        <v>9</v>
      </c>
      <c r="B4" s="12" t="s">
        <v>10</v>
      </c>
      <c r="C4" s="12"/>
      <c r="D4" s="12"/>
      <c r="E4" s="12"/>
      <c r="F4" s="12"/>
    </row>
    <row r="5" spans="1:6" x14ac:dyDescent="0.85">
      <c r="B5" s="12"/>
      <c r="C5" s="12"/>
      <c r="D5" s="12"/>
      <c r="E5" s="12"/>
      <c r="F5" s="12"/>
    </row>
    <row r="6" spans="1:6" x14ac:dyDescent="0.85">
      <c r="B6" s="12"/>
      <c r="C6" s="12"/>
      <c r="D6" s="12"/>
      <c r="E6" s="12"/>
      <c r="F6" s="12"/>
    </row>
    <row r="7" spans="1:6" x14ac:dyDescent="0.85">
      <c r="B7" s="12"/>
      <c r="C7" s="12"/>
      <c r="D7" s="12"/>
      <c r="E7" s="12"/>
      <c r="F7" s="12"/>
    </row>
    <row r="8" spans="1:6" x14ac:dyDescent="0.85">
      <c r="B8" s="12"/>
      <c r="C8" s="12"/>
      <c r="D8" s="12"/>
      <c r="E8" s="12"/>
      <c r="F8" s="12"/>
    </row>
    <row r="9" spans="1:6" x14ac:dyDescent="0.85">
      <c r="B9" s="12"/>
      <c r="C9" s="12"/>
      <c r="D9" s="12"/>
      <c r="E9" s="12"/>
      <c r="F9" s="12"/>
    </row>
    <row r="10" spans="1:6" x14ac:dyDescent="0.85">
      <c r="B10" s="12"/>
      <c r="C10" s="12"/>
      <c r="D10" s="12"/>
      <c r="E10" s="12"/>
      <c r="F10" s="12"/>
    </row>
    <row r="11" spans="1:6" x14ac:dyDescent="0.85">
      <c r="B11" s="12"/>
      <c r="C11" s="12"/>
      <c r="D11" s="12"/>
      <c r="E11" s="12"/>
      <c r="F11" s="12"/>
    </row>
    <row r="12" spans="1:6" x14ac:dyDescent="0.85">
      <c r="B12" s="12"/>
      <c r="C12" s="12"/>
      <c r="D12" s="12"/>
      <c r="E12" s="12"/>
      <c r="F12" s="12"/>
    </row>
    <row r="13" spans="1:6" x14ac:dyDescent="0.85">
      <c r="B13" s="12"/>
      <c r="C13" s="12"/>
      <c r="D13" s="12"/>
      <c r="E13" s="12"/>
      <c r="F13" s="12"/>
    </row>
    <row r="14" spans="1:6" x14ac:dyDescent="0.85">
      <c r="B14" s="12"/>
      <c r="C14" s="12"/>
      <c r="D14" s="12"/>
      <c r="E14" s="12"/>
      <c r="F14" s="12"/>
    </row>
    <row r="15" spans="1:6" x14ac:dyDescent="0.85">
      <c r="B15" s="12"/>
      <c r="C15" s="12"/>
      <c r="D15" s="12"/>
      <c r="E15" s="12"/>
      <c r="F15" s="12"/>
    </row>
    <row r="16" spans="1:6" x14ac:dyDescent="0.85">
      <c r="B16" s="12"/>
      <c r="C16" s="12"/>
      <c r="D16" s="12"/>
      <c r="E16" s="12"/>
      <c r="F16" s="12"/>
    </row>
    <row r="17" spans="2:6" x14ac:dyDescent="0.85">
      <c r="B17" s="12"/>
      <c r="C17" s="12"/>
      <c r="D17" s="12"/>
      <c r="E17" s="12"/>
      <c r="F17" s="12"/>
    </row>
    <row r="18" spans="2:6" x14ac:dyDescent="0.85">
      <c r="B18" s="12"/>
      <c r="C18" s="12"/>
      <c r="D18" s="12"/>
      <c r="E18" s="12"/>
      <c r="F18" s="12"/>
    </row>
    <row r="19" spans="2:6" x14ac:dyDescent="0.85">
      <c r="B19" s="12"/>
      <c r="C19" s="12"/>
      <c r="D19" s="12"/>
      <c r="E19" s="12"/>
      <c r="F19" s="12"/>
    </row>
    <row r="20" spans="2:6" x14ac:dyDescent="0.85">
      <c r="B20" s="12"/>
      <c r="C20" s="12"/>
      <c r="D20" s="12"/>
      <c r="E20" s="12"/>
      <c r="F20" s="12"/>
    </row>
    <row r="21" spans="2:6" x14ac:dyDescent="0.85">
      <c r="B21" s="12"/>
      <c r="C21" s="12"/>
      <c r="D21" s="12"/>
      <c r="E21" s="12"/>
      <c r="F21" s="12"/>
    </row>
    <row r="22" spans="2:6" x14ac:dyDescent="0.85">
      <c r="B22" s="12"/>
      <c r="C22" s="12"/>
      <c r="D22" s="12"/>
      <c r="E22" s="12"/>
      <c r="F22" s="12"/>
    </row>
    <row r="23" spans="2:6" x14ac:dyDescent="0.85">
      <c r="B23" s="12"/>
      <c r="C23" s="12"/>
      <c r="D23" s="12"/>
      <c r="E23" s="12"/>
      <c r="F23" s="12"/>
    </row>
    <row r="24" spans="2:6" x14ac:dyDescent="0.85">
      <c r="B24" s="12"/>
      <c r="C24" s="12"/>
      <c r="D24" s="12"/>
      <c r="E24" s="12"/>
      <c r="F24" s="12"/>
    </row>
    <row r="25" spans="2:6" x14ac:dyDescent="0.85">
      <c r="B25" s="12"/>
      <c r="C25" s="12"/>
      <c r="D25" s="12"/>
      <c r="E25" s="12"/>
      <c r="F25" s="12"/>
    </row>
    <row r="26" spans="2:6" x14ac:dyDescent="0.85">
      <c r="B26" s="12"/>
      <c r="C26" s="12"/>
      <c r="D26" s="12"/>
      <c r="E26" s="12"/>
      <c r="F26" s="12"/>
    </row>
    <row r="27" spans="2:6" x14ac:dyDescent="0.85">
      <c r="B27" s="12"/>
      <c r="C27" s="12"/>
      <c r="D27" s="12"/>
      <c r="E27" s="12"/>
      <c r="F27" s="12"/>
    </row>
    <row r="28" spans="2:6" x14ac:dyDescent="0.85">
      <c r="B28" s="12"/>
      <c r="C28" s="12"/>
      <c r="D28" s="12"/>
      <c r="E28" s="12"/>
      <c r="F28" s="12"/>
    </row>
    <row r="29" spans="2:6" x14ac:dyDescent="0.85">
      <c r="B29" s="12"/>
      <c r="C29" s="12"/>
      <c r="D29" s="12"/>
      <c r="E29" s="12"/>
      <c r="F29" s="12"/>
    </row>
    <row r="30" spans="2:6" x14ac:dyDescent="0.85">
      <c r="B30" s="12"/>
      <c r="C30" s="12"/>
      <c r="D30" s="12"/>
      <c r="E30" s="12"/>
      <c r="F30" s="12"/>
    </row>
    <row r="31" spans="2:6" x14ac:dyDescent="0.85">
      <c r="B31" s="12"/>
      <c r="C31" s="12"/>
      <c r="D31" s="12"/>
      <c r="E31" s="12"/>
      <c r="F31" s="12"/>
    </row>
    <row r="32" spans="2:6" x14ac:dyDescent="0.85">
      <c r="B32" s="12"/>
      <c r="C32" s="12"/>
      <c r="D32" s="12"/>
      <c r="E32" s="12"/>
      <c r="F32" s="12"/>
    </row>
    <row r="33" spans="2:6" x14ac:dyDescent="0.85">
      <c r="B33" s="12"/>
      <c r="C33" s="12"/>
      <c r="D33" s="12"/>
      <c r="E33" s="12"/>
      <c r="F33" s="12"/>
    </row>
    <row r="34" spans="2:6" x14ac:dyDescent="0.85">
      <c r="B34" s="12"/>
      <c r="C34" s="12"/>
      <c r="D34" s="12"/>
      <c r="E34" s="12"/>
      <c r="F34" s="12"/>
    </row>
    <row r="35" spans="2:6" x14ac:dyDescent="0.85">
      <c r="B35" s="12"/>
      <c r="C35" s="12"/>
      <c r="D35" s="12"/>
      <c r="E35" s="12"/>
      <c r="F35" s="12"/>
    </row>
    <row r="36" spans="2:6" x14ac:dyDescent="0.85">
      <c r="B36" s="12"/>
      <c r="C36" s="12"/>
      <c r="D36" s="12"/>
      <c r="E36" s="12"/>
      <c r="F36" s="12"/>
    </row>
    <row r="37" spans="2:6" x14ac:dyDescent="0.85">
      <c r="B37" s="12"/>
      <c r="C37" s="12"/>
      <c r="D37" s="12"/>
      <c r="E37" s="12"/>
      <c r="F37" s="12"/>
    </row>
    <row r="38" spans="2:6" x14ac:dyDescent="0.85">
      <c r="B38" s="12"/>
      <c r="C38" s="12"/>
      <c r="D38" s="12"/>
      <c r="E38" s="12"/>
      <c r="F38" s="12"/>
    </row>
    <row r="39" spans="2:6" x14ac:dyDescent="0.85">
      <c r="B39" s="12"/>
      <c r="C39" s="12"/>
      <c r="D39" s="12"/>
      <c r="E39" s="12"/>
      <c r="F39" s="12"/>
    </row>
    <row r="40" spans="2:6" x14ac:dyDescent="0.85">
      <c r="B40" s="12"/>
      <c r="C40" s="12"/>
      <c r="D40" s="12"/>
      <c r="E40" s="12"/>
      <c r="F40" s="12"/>
    </row>
    <row r="41" spans="2:6" x14ac:dyDescent="0.85">
      <c r="B41" s="12"/>
      <c r="C41" s="12"/>
      <c r="D41" s="12"/>
      <c r="E41" s="12"/>
      <c r="F41" s="12"/>
    </row>
    <row r="42" spans="2:6" x14ac:dyDescent="0.85">
      <c r="B42" s="12"/>
      <c r="C42" s="12"/>
      <c r="D42" s="12"/>
      <c r="E42" s="12"/>
      <c r="F42" s="12"/>
    </row>
    <row r="43" spans="2:6" x14ac:dyDescent="0.85">
      <c r="B43" s="12"/>
      <c r="C43" s="12"/>
      <c r="D43" s="12"/>
      <c r="E43" s="12"/>
      <c r="F43" s="12"/>
    </row>
    <row r="44" spans="2:6" x14ac:dyDescent="0.85">
      <c r="B44" s="12"/>
      <c r="C44" s="12"/>
      <c r="D44" s="12"/>
      <c r="E44" s="12"/>
      <c r="F44" s="12"/>
    </row>
    <row r="45" spans="2:6" x14ac:dyDescent="0.85">
      <c r="B45" s="12"/>
      <c r="C45" s="12"/>
      <c r="D45" s="12"/>
      <c r="E45" s="12"/>
      <c r="F45" s="12"/>
    </row>
    <row r="46" spans="2:6" x14ac:dyDescent="0.85">
      <c r="B46" s="12"/>
      <c r="C46" s="12"/>
      <c r="D46" s="12"/>
      <c r="E46" s="12"/>
      <c r="F46" s="12"/>
    </row>
    <row r="47" spans="2:6" x14ac:dyDescent="0.85">
      <c r="B47" s="12"/>
      <c r="C47" s="12"/>
      <c r="D47" s="12"/>
      <c r="E47" s="12"/>
      <c r="F47" s="12"/>
    </row>
    <row r="48" spans="2:6" x14ac:dyDescent="0.85">
      <c r="B48" s="12"/>
      <c r="C48" s="12"/>
      <c r="D48" s="12"/>
      <c r="E48" s="12"/>
      <c r="F48" s="12"/>
    </row>
    <row r="49" spans="2:6" x14ac:dyDescent="0.85">
      <c r="B49" s="12"/>
      <c r="C49" s="12"/>
      <c r="D49" s="12"/>
      <c r="E49" s="12"/>
      <c r="F49" s="12"/>
    </row>
    <row r="50" spans="2:6" x14ac:dyDescent="0.85">
      <c r="B50" s="12"/>
      <c r="C50" s="12"/>
      <c r="D50" s="12"/>
      <c r="E50" s="12"/>
      <c r="F50" s="12"/>
    </row>
    <row r="51" spans="2:6" x14ac:dyDescent="0.85">
      <c r="B51" s="12"/>
      <c r="C51" s="12"/>
      <c r="D51" s="12"/>
      <c r="E51" s="12"/>
      <c r="F51" s="12"/>
    </row>
    <row r="52" spans="2:6" x14ac:dyDescent="0.85">
      <c r="B52" s="12"/>
      <c r="C52" s="12"/>
      <c r="D52" s="12"/>
      <c r="E52" s="12"/>
      <c r="F52" s="12"/>
    </row>
    <row r="53" spans="2:6" x14ac:dyDescent="0.85">
      <c r="B53" s="12"/>
      <c r="C53" s="12"/>
      <c r="D53" s="12"/>
      <c r="E53" s="12"/>
      <c r="F53" s="12"/>
    </row>
    <row r="54" spans="2:6" x14ac:dyDescent="0.85">
      <c r="B54" s="12"/>
      <c r="C54" s="12"/>
      <c r="D54" s="12"/>
      <c r="E54" s="12"/>
      <c r="F54" s="12"/>
    </row>
    <row r="55" spans="2:6" x14ac:dyDescent="0.85">
      <c r="B55" s="12"/>
      <c r="C55" s="12"/>
      <c r="D55" s="12"/>
      <c r="E55" s="12"/>
      <c r="F55" s="12"/>
    </row>
    <row r="56" spans="2:6" x14ac:dyDescent="0.85">
      <c r="B56" s="12"/>
      <c r="C56" s="12"/>
      <c r="D56" s="12"/>
      <c r="E56" s="12"/>
      <c r="F56" s="12"/>
    </row>
    <row r="57" spans="2:6" x14ac:dyDescent="0.85">
      <c r="B57" s="12"/>
      <c r="C57" s="12"/>
      <c r="D57" s="12"/>
      <c r="E57" s="12"/>
      <c r="F57" s="12"/>
    </row>
    <row r="58" spans="2:6" x14ac:dyDescent="0.85">
      <c r="B58" s="12"/>
      <c r="C58" s="12"/>
      <c r="D58" s="12"/>
      <c r="E58" s="12"/>
      <c r="F58" s="12"/>
    </row>
    <row r="59" spans="2:6" x14ac:dyDescent="0.85">
      <c r="B59" s="12"/>
      <c r="C59" s="12"/>
      <c r="D59" s="12"/>
      <c r="E59" s="12"/>
      <c r="F59" s="12"/>
    </row>
    <row r="60" spans="2:6" x14ac:dyDescent="0.85">
      <c r="B60" s="12"/>
      <c r="C60" s="12"/>
      <c r="D60" s="12"/>
      <c r="E60" s="12"/>
      <c r="F60" s="12"/>
    </row>
    <row r="61" spans="2:6" x14ac:dyDescent="0.85">
      <c r="B61" s="12"/>
      <c r="C61" s="12"/>
      <c r="D61" s="12"/>
      <c r="E61" s="12"/>
      <c r="F61" s="12"/>
    </row>
    <row r="62" spans="2:6" x14ac:dyDescent="0.85">
      <c r="B62" s="12"/>
      <c r="C62" s="12"/>
      <c r="D62" s="12"/>
      <c r="E62" s="12"/>
      <c r="F62" s="12"/>
    </row>
    <row r="63" spans="2:6" x14ac:dyDescent="0.85">
      <c r="B63" s="12"/>
      <c r="C63" s="12"/>
      <c r="D63" s="12"/>
      <c r="E63" s="12"/>
      <c r="F63" s="12"/>
    </row>
    <row r="64" spans="2:6" x14ac:dyDescent="0.85">
      <c r="B64" s="12"/>
      <c r="C64" s="12"/>
      <c r="D64" s="12"/>
      <c r="E64" s="12"/>
      <c r="F64" s="12"/>
    </row>
    <row r="65" spans="2:6" x14ac:dyDescent="0.85">
      <c r="B65" s="12"/>
      <c r="C65" s="12"/>
      <c r="D65" s="12"/>
      <c r="E65" s="12"/>
      <c r="F65" s="12"/>
    </row>
    <row r="66" spans="2:6" x14ac:dyDescent="0.85">
      <c r="B66" s="12"/>
      <c r="C66" s="12"/>
      <c r="D66" s="12"/>
      <c r="E66" s="12"/>
      <c r="F66" s="12"/>
    </row>
    <row r="67" spans="2:6" x14ac:dyDescent="0.85">
      <c r="B67" s="12"/>
      <c r="C67" s="12"/>
      <c r="D67" s="12"/>
      <c r="E67" s="12"/>
      <c r="F67" s="12"/>
    </row>
    <row r="68" spans="2:6" x14ac:dyDescent="0.85">
      <c r="B68" s="12"/>
      <c r="C68" s="12"/>
      <c r="D68" s="12"/>
      <c r="E68" s="12"/>
      <c r="F68" s="12"/>
    </row>
    <row r="69" spans="2:6" x14ac:dyDescent="0.85">
      <c r="B69" s="12"/>
      <c r="C69" s="12"/>
      <c r="D69" s="12"/>
      <c r="E69" s="12"/>
      <c r="F69" s="12"/>
    </row>
    <row r="70" spans="2:6" x14ac:dyDescent="0.85">
      <c r="B70" s="12"/>
      <c r="C70" s="12"/>
      <c r="D70" s="12"/>
      <c r="E70" s="12"/>
      <c r="F70" s="12"/>
    </row>
    <row r="71" spans="2:6" x14ac:dyDescent="0.85">
      <c r="B71" s="12"/>
      <c r="C71" s="12"/>
      <c r="D71" s="12"/>
      <c r="E71" s="12"/>
      <c r="F71" s="12"/>
    </row>
    <row r="72" spans="2:6" x14ac:dyDescent="0.85">
      <c r="B72" s="12"/>
      <c r="C72" s="12"/>
      <c r="D72" s="12"/>
      <c r="E72" s="12"/>
      <c r="F72" s="12"/>
    </row>
    <row r="73" spans="2:6" x14ac:dyDescent="0.85">
      <c r="B73" s="12"/>
      <c r="C73" s="12"/>
      <c r="D73" s="12"/>
      <c r="E73" s="12"/>
      <c r="F73" s="12"/>
    </row>
    <row r="74" spans="2:6" x14ac:dyDescent="0.85">
      <c r="B74" s="12"/>
      <c r="C74" s="12"/>
      <c r="D74" s="12"/>
      <c r="E74" s="12"/>
      <c r="F74" s="12"/>
    </row>
    <row r="75" spans="2:6" x14ac:dyDescent="0.85">
      <c r="B75" s="12"/>
      <c r="C75" s="12"/>
      <c r="D75" s="12"/>
      <c r="E75" s="12"/>
      <c r="F75" s="12"/>
    </row>
    <row r="76" spans="2:6" x14ac:dyDescent="0.85">
      <c r="B76" s="12"/>
      <c r="C76" s="12"/>
      <c r="D76" s="12"/>
      <c r="E76" s="12"/>
      <c r="F76" s="12"/>
    </row>
    <row r="77" spans="2:6" x14ac:dyDescent="0.85">
      <c r="B77" s="12"/>
      <c r="C77" s="12"/>
      <c r="D77" s="12"/>
      <c r="E77" s="12"/>
      <c r="F77" s="12"/>
    </row>
    <row r="78" spans="2:6" x14ac:dyDescent="0.85">
      <c r="B78" s="12"/>
      <c r="C78" s="12"/>
      <c r="D78" s="12"/>
      <c r="E78" s="12"/>
      <c r="F78" s="12"/>
    </row>
    <row r="79" spans="2:6" x14ac:dyDescent="0.85">
      <c r="B79" s="12"/>
      <c r="C79" s="12"/>
      <c r="D79" s="12"/>
      <c r="E79" s="12"/>
      <c r="F79" s="12"/>
    </row>
    <row r="80" spans="2:6" x14ac:dyDescent="0.85">
      <c r="B80" s="12"/>
      <c r="C80" s="12"/>
      <c r="D80" s="12"/>
      <c r="E80" s="12"/>
      <c r="F80" s="12"/>
    </row>
    <row r="81" spans="2:6" x14ac:dyDescent="0.85">
      <c r="B81" s="12"/>
      <c r="C81" s="12"/>
      <c r="D81" s="12"/>
      <c r="E81" s="12"/>
      <c r="F81" s="12"/>
    </row>
    <row r="82" spans="2:6" x14ac:dyDescent="0.85">
      <c r="B82" s="12"/>
      <c r="C82" s="12"/>
      <c r="D82" s="12"/>
      <c r="E82" s="12"/>
      <c r="F82" s="12"/>
    </row>
    <row r="83" spans="2:6" x14ac:dyDescent="0.85">
      <c r="B83" s="12"/>
      <c r="C83" s="12"/>
      <c r="D83" s="12"/>
      <c r="E83" s="12"/>
      <c r="F83" s="12"/>
    </row>
    <row r="84" spans="2:6" x14ac:dyDescent="0.85">
      <c r="B84" s="12"/>
      <c r="C84" s="12"/>
      <c r="D84" s="12"/>
      <c r="E84" s="12"/>
      <c r="F84" s="12"/>
    </row>
    <row r="85" spans="2:6" x14ac:dyDescent="0.85">
      <c r="B85" s="12"/>
      <c r="C85" s="12"/>
      <c r="D85" s="12"/>
      <c r="E85" s="12"/>
      <c r="F85" s="12"/>
    </row>
    <row r="86" spans="2:6" x14ac:dyDescent="0.85">
      <c r="B86" s="12"/>
      <c r="C86" s="12"/>
      <c r="D86" s="12"/>
      <c r="E86" s="12"/>
      <c r="F86" s="12"/>
    </row>
    <row r="87" spans="2:6" x14ac:dyDescent="0.85">
      <c r="B87" s="12"/>
      <c r="C87" s="12"/>
      <c r="D87" s="12"/>
      <c r="E87" s="12"/>
      <c r="F87" s="12"/>
    </row>
    <row r="88" spans="2:6" x14ac:dyDescent="0.85">
      <c r="B88" s="12"/>
      <c r="C88" s="12"/>
      <c r="D88" s="12"/>
      <c r="E88" s="12"/>
      <c r="F88" s="12"/>
    </row>
    <row r="89" spans="2:6" x14ac:dyDescent="0.85">
      <c r="B89" s="12"/>
      <c r="C89" s="12"/>
      <c r="D89" s="12"/>
      <c r="E89" s="12"/>
      <c r="F89" s="12"/>
    </row>
    <row r="90" spans="2:6" x14ac:dyDescent="0.85">
      <c r="B90" s="12"/>
      <c r="C90" s="12"/>
      <c r="D90" s="12"/>
      <c r="E90" s="12"/>
      <c r="F90" s="12"/>
    </row>
    <row r="91" spans="2:6" x14ac:dyDescent="0.85">
      <c r="B91" s="12"/>
      <c r="C91" s="12"/>
      <c r="D91" s="12"/>
      <c r="E91" s="12"/>
      <c r="F91" s="12"/>
    </row>
    <row r="92" spans="2:6" x14ac:dyDescent="0.85">
      <c r="B92" s="12"/>
      <c r="C92" s="12"/>
      <c r="D92" s="12"/>
      <c r="E92" s="12"/>
      <c r="F92" s="12"/>
    </row>
    <row r="93" spans="2:6" x14ac:dyDescent="0.85">
      <c r="B93" s="12"/>
      <c r="C93" s="12"/>
      <c r="D93" s="12"/>
      <c r="E93" s="12"/>
      <c r="F93" s="12"/>
    </row>
    <row r="94" spans="2:6" x14ac:dyDescent="0.85">
      <c r="B94" s="12"/>
      <c r="C94" s="12"/>
      <c r="D94" s="12"/>
      <c r="E94" s="12"/>
      <c r="F94" s="12"/>
    </row>
    <row r="95" spans="2:6" x14ac:dyDescent="0.85">
      <c r="B95" s="12"/>
      <c r="C95" s="12"/>
      <c r="D95" s="12"/>
      <c r="E95" s="12"/>
      <c r="F95" s="12"/>
    </row>
    <row r="96" spans="2:6" x14ac:dyDescent="0.85">
      <c r="B96" s="12"/>
      <c r="C96" s="12"/>
      <c r="D96" s="12"/>
      <c r="E96" s="12"/>
      <c r="F96" s="12"/>
    </row>
    <row r="97" spans="1:6" x14ac:dyDescent="0.85">
      <c r="B97" s="12"/>
      <c r="C97" s="12"/>
      <c r="D97" s="12"/>
      <c r="E97" s="12"/>
      <c r="F97" s="12"/>
    </row>
    <row r="98" spans="1:6" x14ac:dyDescent="0.85">
      <c r="B98" s="12"/>
      <c r="C98" s="12"/>
      <c r="D98" s="12"/>
      <c r="E98" s="12"/>
      <c r="F98" s="12"/>
    </row>
    <row r="99" spans="1:6" x14ac:dyDescent="0.85">
      <c r="B99" s="12"/>
      <c r="C99" s="12"/>
      <c r="D99" s="12"/>
      <c r="E99" s="12"/>
      <c r="F99" s="12"/>
    </row>
    <row r="100" spans="1:6" x14ac:dyDescent="0.85">
      <c r="B100" s="12"/>
      <c r="C100" s="12"/>
      <c r="D100" s="12"/>
      <c r="E100" s="12"/>
      <c r="F100" s="12"/>
    </row>
    <row r="101" spans="1:6" x14ac:dyDescent="0.85">
      <c r="A101" s="12"/>
      <c r="B101" s="11"/>
      <c r="C101" s="11"/>
      <c r="D101" s="11"/>
    </row>
    <row r="102" spans="1:6" x14ac:dyDescent="0.85">
      <c r="A102" s="12"/>
      <c r="B102" s="11"/>
      <c r="C102" s="11"/>
      <c r="D102" s="11"/>
    </row>
    <row r="103" spans="1:6" x14ac:dyDescent="0.85">
      <c r="A103" s="12"/>
      <c r="B103" s="11"/>
      <c r="C103" s="11"/>
      <c r="D103" s="11"/>
    </row>
    <row r="104" spans="1:6" x14ac:dyDescent="0.85">
      <c r="A104" s="12"/>
      <c r="B104" s="11"/>
      <c r="C104" s="11"/>
      <c r="D104" s="11"/>
    </row>
    <row r="105" spans="1:6" x14ac:dyDescent="0.85">
      <c r="A105" s="12"/>
      <c r="B105" s="11"/>
      <c r="C105" s="11"/>
      <c r="D105" s="11"/>
    </row>
    <row r="106" spans="1:6" x14ac:dyDescent="0.85">
      <c r="A106" s="12"/>
      <c r="B106" s="11"/>
      <c r="C106" s="11"/>
      <c r="D106" s="11"/>
    </row>
  </sheetData>
  <mergeCells count="105">
    <mergeCell ref="B94:F94"/>
    <mergeCell ref="B95:F95"/>
    <mergeCell ref="B96:F96"/>
    <mergeCell ref="B97:F97"/>
    <mergeCell ref="B98:F98"/>
    <mergeCell ref="B99:F99"/>
    <mergeCell ref="B100:F100"/>
    <mergeCell ref="B85:F85"/>
    <mergeCell ref="B86:F86"/>
    <mergeCell ref="B87:F87"/>
    <mergeCell ref="B88:F88"/>
    <mergeCell ref="B89:F89"/>
    <mergeCell ref="B90:F90"/>
    <mergeCell ref="B91:F91"/>
    <mergeCell ref="B92:F92"/>
    <mergeCell ref="B93:F93"/>
    <mergeCell ref="B76:F76"/>
    <mergeCell ref="B77:F77"/>
    <mergeCell ref="B78:F78"/>
    <mergeCell ref="B79:F79"/>
    <mergeCell ref="B80:F80"/>
    <mergeCell ref="B81:F81"/>
    <mergeCell ref="B82:F82"/>
    <mergeCell ref="B83:F83"/>
    <mergeCell ref="B84:F84"/>
    <mergeCell ref="B61:F61"/>
    <mergeCell ref="B62:F62"/>
    <mergeCell ref="B63:F63"/>
    <mergeCell ref="B64:F64"/>
    <mergeCell ref="B65:F65"/>
    <mergeCell ref="B66:F66"/>
    <mergeCell ref="B67:F67"/>
    <mergeCell ref="B68:F68"/>
    <mergeCell ref="B69:F69"/>
    <mergeCell ref="B52:F52"/>
    <mergeCell ref="B53:F53"/>
    <mergeCell ref="B54:F54"/>
    <mergeCell ref="B55:F55"/>
    <mergeCell ref="B56:F56"/>
    <mergeCell ref="B57:F57"/>
    <mergeCell ref="B58:F58"/>
    <mergeCell ref="B59:F59"/>
    <mergeCell ref="B60:F60"/>
    <mergeCell ref="B37:F37"/>
    <mergeCell ref="B38:F38"/>
    <mergeCell ref="B39:F39"/>
    <mergeCell ref="B40:F40"/>
    <mergeCell ref="B41:F41"/>
    <mergeCell ref="B42:F42"/>
    <mergeCell ref="B43:F43"/>
    <mergeCell ref="B44:F44"/>
    <mergeCell ref="B45:F45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23:F23"/>
    <mergeCell ref="B24:F24"/>
    <mergeCell ref="B25:F25"/>
    <mergeCell ref="B26:F26"/>
    <mergeCell ref="B27:F27"/>
    <mergeCell ref="B28:F28"/>
    <mergeCell ref="B29:F29"/>
    <mergeCell ref="B30:F30"/>
    <mergeCell ref="B31:F31"/>
    <mergeCell ref="B32:F32"/>
    <mergeCell ref="B33:F33"/>
    <mergeCell ref="B34:F34"/>
    <mergeCell ref="B35:F35"/>
    <mergeCell ref="B36:F36"/>
    <mergeCell ref="B70:F70"/>
    <mergeCell ref="B71:F71"/>
    <mergeCell ref="B72:F72"/>
    <mergeCell ref="B73:F73"/>
    <mergeCell ref="B74:F74"/>
    <mergeCell ref="B75:F75"/>
    <mergeCell ref="B11:F11"/>
    <mergeCell ref="B12:F12"/>
    <mergeCell ref="B13:F13"/>
    <mergeCell ref="B14:F14"/>
    <mergeCell ref="B15:F15"/>
    <mergeCell ref="B16:F16"/>
    <mergeCell ref="B17:F17"/>
    <mergeCell ref="B18:F18"/>
    <mergeCell ref="B19:F19"/>
    <mergeCell ref="B20:F20"/>
    <mergeCell ref="B21:F21"/>
    <mergeCell ref="B22:F22"/>
    <mergeCell ref="B46:F46"/>
    <mergeCell ref="B47:F47"/>
    <mergeCell ref="B48:F48"/>
    <mergeCell ref="B49:F49"/>
    <mergeCell ref="B50:F50"/>
    <mergeCell ref="B51:F51"/>
    <mergeCell ref="A106:D106"/>
    <mergeCell ref="A101:D101"/>
    <mergeCell ref="A102:D102"/>
    <mergeCell ref="A103:D103"/>
    <mergeCell ref="A104:D104"/>
    <mergeCell ref="A105:D10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BB6A1-9D2B-46F4-AA3D-91DA2AEBFE85}">
  <dimension ref="A1:V15"/>
  <sheetViews>
    <sheetView topLeftCell="K2" workbookViewId="0">
      <selection activeCell="T6" sqref="T6"/>
    </sheetView>
  </sheetViews>
  <sheetFormatPr defaultRowHeight="14.6" x14ac:dyDescent="0.85"/>
  <cols>
    <col min="1" max="3" width="12.07421875" style="14" customWidth="1"/>
    <col min="4" max="4" width="14.69140625" style="14" customWidth="1"/>
    <col min="5" max="5" width="1.65234375" style="14" bestFit="1" customWidth="1"/>
    <col min="6" max="6" width="8.265625" style="14" customWidth="1"/>
    <col min="7" max="7" width="9.15234375" style="14" customWidth="1"/>
    <col min="8" max="8" width="10.73046875" style="14" bestFit="1" customWidth="1"/>
    <col min="9" max="12" width="8.921875" style="14"/>
    <col min="13" max="13" width="9.73046875" style="14" customWidth="1"/>
    <col min="14" max="14" width="15.73046875" style="14" customWidth="1"/>
    <col min="15" max="15" width="8.8828125" style="14" bestFit="1" customWidth="1"/>
    <col min="16" max="16" width="14.11328125" style="14" customWidth="1"/>
    <col min="17" max="17" width="9.9609375" style="14" customWidth="1"/>
    <col min="18" max="18" width="11.34375" style="14" customWidth="1"/>
    <col min="19" max="19" width="10.11328125" style="14" customWidth="1"/>
    <col min="20" max="20" width="19.8828125" style="14" customWidth="1"/>
    <col min="21" max="16384" width="8.921875" style="14"/>
  </cols>
  <sheetData>
    <row r="1" spans="1:22" s="13" customFormat="1" ht="29.15" x14ac:dyDescent="0.85">
      <c r="A1" s="13" t="s">
        <v>11</v>
      </c>
      <c r="B1" s="13" t="s">
        <v>12</v>
      </c>
      <c r="C1" s="13" t="str">
        <f>A1</f>
        <v>Regions</v>
      </c>
      <c r="D1" s="13" t="s">
        <v>13</v>
      </c>
      <c r="E1" s="14"/>
      <c r="F1" s="13" t="s">
        <v>14</v>
      </c>
      <c r="G1" s="13" t="s">
        <v>15</v>
      </c>
      <c r="H1" s="13" t="s">
        <v>16</v>
      </c>
      <c r="I1" s="13" t="s">
        <v>17</v>
      </c>
      <c r="J1" s="13" t="s">
        <v>18</v>
      </c>
      <c r="K1" s="13" t="s">
        <v>19</v>
      </c>
      <c r="L1" s="13" t="s">
        <v>20</v>
      </c>
      <c r="M1" s="13" t="s">
        <v>21</v>
      </c>
      <c r="N1" s="13" t="s">
        <v>22</v>
      </c>
      <c r="O1" s="13" t="s">
        <v>23</v>
      </c>
      <c r="P1" s="13" t="s">
        <v>24</v>
      </c>
      <c r="Q1" s="13" t="s">
        <v>25</v>
      </c>
      <c r="R1" s="13" t="s">
        <v>26</v>
      </c>
      <c r="S1" s="13" t="s">
        <v>27</v>
      </c>
      <c r="T1" s="13" t="s">
        <v>28</v>
      </c>
      <c r="U1" s="13" t="s">
        <v>29</v>
      </c>
      <c r="V1" s="13" t="s">
        <v>30</v>
      </c>
    </row>
    <row r="2" spans="1:22" x14ac:dyDescent="0.85">
      <c r="A2" s="14" t="s">
        <v>3</v>
      </c>
      <c r="B2" s="14" t="s">
        <v>31</v>
      </c>
      <c r="C2" s="14" t="s">
        <v>3</v>
      </c>
      <c r="D2" s="14" t="s">
        <v>32</v>
      </c>
      <c r="E2" s="14">
        <v>0</v>
      </c>
      <c r="F2" s="14" t="s">
        <v>33</v>
      </c>
      <c r="G2" s="14">
        <f>1/1000</f>
        <v>1E-3</v>
      </c>
      <c r="H2" s="14">
        <v>11</v>
      </c>
      <c r="I2" s="14">
        <v>16</v>
      </c>
      <c r="J2" s="14" t="s">
        <v>34</v>
      </c>
      <c r="K2" s="14">
        <f>_1st_ref</f>
        <v>16</v>
      </c>
      <c r="L2" s="14">
        <v>1</v>
      </c>
      <c r="M2" s="15" t="s">
        <v>35</v>
      </c>
      <c r="N2" s="15" t="s">
        <v>35</v>
      </c>
      <c r="O2" s="14" t="str">
        <f>M2</f>
        <v>-&lt;0&gt;-</v>
      </c>
      <c r="P2" s="15" t="s">
        <v>35</v>
      </c>
      <c r="Q2" s="15" t="s">
        <v>35</v>
      </c>
      <c r="R2" s="14" t="str">
        <f t="shared" ref="R2:R3" si="0">P2</f>
        <v>-&lt;0&gt;-</v>
      </c>
      <c r="S2" s="14" t="str">
        <f>M2 &amp; "_" &amp; P2</f>
        <v>-&lt;0&gt;-_-&lt;0&gt;-</v>
      </c>
      <c r="U2" s="15" t="s">
        <v>35</v>
      </c>
      <c r="V2" s="15" t="s">
        <v>35</v>
      </c>
    </row>
    <row r="3" spans="1:22" ht="29.15" x14ac:dyDescent="0.85">
      <c r="A3" s="14" t="s">
        <v>36</v>
      </c>
      <c r="B3" s="14" t="s">
        <v>37</v>
      </c>
      <c r="C3" s="14" t="s">
        <v>36</v>
      </c>
      <c r="D3" s="14" t="s">
        <v>38</v>
      </c>
      <c r="E3" s="14">
        <v>1</v>
      </c>
      <c r="F3" s="14" t="s">
        <v>39</v>
      </c>
      <c r="G3" s="14">
        <f>1/1000000</f>
        <v>9.9999999999999995E-7</v>
      </c>
      <c r="J3" s="14" t="s">
        <v>40</v>
      </c>
      <c r="K3" s="14">
        <f>K2+Param_Count</f>
        <v>27</v>
      </c>
      <c r="L3" s="14">
        <v>2</v>
      </c>
      <c r="M3" s="14" t="s">
        <v>41</v>
      </c>
      <c r="N3" s="14" t="s">
        <v>42</v>
      </c>
      <c r="O3" s="14" t="str">
        <f>M3</f>
        <v>Default</v>
      </c>
      <c r="P3" s="14" t="s">
        <v>41</v>
      </c>
      <c r="Q3" s="14" t="s">
        <v>42</v>
      </c>
      <c r="R3" s="14" t="str">
        <f t="shared" si="0"/>
        <v>Default</v>
      </c>
      <c r="S3" s="14" t="str">
        <f>M3 &amp; "_" &amp; P3</f>
        <v>Default_Default</v>
      </c>
      <c r="U3" s="14">
        <v>0</v>
      </c>
      <c r="V3" s="14">
        <v>0</v>
      </c>
    </row>
    <row r="4" spans="1:22" ht="43.75" x14ac:dyDescent="0.85">
      <c r="A4" s="14" t="s">
        <v>43</v>
      </c>
      <c r="B4" s="14" t="s">
        <v>44</v>
      </c>
      <c r="C4" s="14" t="s">
        <v>43</v>
      </c>
      <c r="D4" s="14" t="s">
        <v>45</v>
      </c>
      <c r="E4" s="14">
        <v>2</v>
      </c>
      <c r="F4" s="14" t="s">
        <v>39</v>
      </c>
      <c r="G4" s="14">
        <f>1/1000000</f>
        <v>9.9999999999999995E-7</v>
      </c>
      <c r="J4" s="14" t="s">
        <v>46</v>
      </c>
      <c r="K4" s="14">
        <f>K3+Param_Count</f>
        <v>38</v>
      </c>
      <c r="L4" s="14">
        <v>3</v>
      </c>
      <c r="M4" s="14" t="s">
        <v>47</v>
      </c>
      <c r="N4" s="14" t="s">
        <v>48</v>
      </c>
      <c r="O4" s="14" t="str">
        <f t="shared" ref="O4:O5" si="1">M4</f>
        <v>Cheap_Nuclear</v>
      </c>
      <c r="P4" s="14" t="s">
        <v>49</v>
      </c>
      <c r="Q4" s="14" t="s">
        <v>50</v>
      </c>
      <c r="R4" s="14" t="str">
        <f>P4</f>
        <v>3_Qtr_Cap</v>
      </c>
      <c r="S4" s="14" t="str">
        <f>M4 &amp; "_" &amp; P4</f>
        <v>Cheap_Nuclear_3_Qtr_Cap</v>
      </c>
      <c r="T4" s="14" t="s">
        <v>51</v>
      </c>
      <c r="U4" s="14">
        <v>100</v>
      </c>
      <c r="V4" s="14">
        <v>10</v>
      </c>
    </row>
    <row r="5" spans="1:22" ht="43.75" x14ac:dyDescent="0.85">
      <c r="A5" s="14" t="s">
        <v>52</v>
      </c>
      <c r="B5" s="14" t="s">
        <v>53</v>
      </c>
      <c r="C5" s="14" t="s">
        <v>52</v>
      </c>
      <c r="D5" s="14" t="s">
        <v>54</v>
      </c>
      <c r="E5" s="14">
        <v>3</v>
      </c>
      <c r="F5" s="14" t="s">
        <v>55</v>
      </c>
      <c r="G5" s="14">
        <f>1/1000</f>
        <v>1E-3</v>
      </c>
      <c r="J5" s="14" t="s">
        <v>56</v>
      </c>
      <c r="K5" s="14">
        <f>K4+Param_Count</f>
        <v>49</v>
      </c>
      <c r="L5" s="14">
        <v>4</v>
      </c>
      <c r="M5" s="14" t="s">
        <v>57</v>
      </c>
      <c r="N5" s="14" t="s">
        <v>58</v>
      </c>
      <c r="O5" s="14" t="str">
        <f t="shared" si="1"/>
        <v>Fast_Build</v>
      </c>
      <c r="P5" s="14" t="s">
        <v>59</v>
      </c>
      <c r="Q5" s="14" t="s">
        <v>60</v>
      </c>
      <c r="R5" s="14" t="str">
        <f>P5</f>
        <v>Half_Cap</v>
      </c>
      <c r="S5" s="14" t="str">
        <f>M4 &amp; "_" &amp; P5</f>
        <v>Cheap_Nuclear_Half_Cap</v>
      </c>
      <c r="T5" s="14" t="s">
        <v>61</v>
      </c>
      <c r="U5" s="14">
        <v>200</v>
      </c>
      <c r="V5" s="14">
        <v>15</v>
      </c>
    </row>
    <row r="6" spans="1:22" ht="87.45" x14ac:dyDescent="0.85">
      <c r="A6" s="14" t="s">
        <v>62</v>
      </c>
      <c r="B6" s="14" t="s">
        <v>63</v>
      </c>
      <c r="C6" s="14" t="s">
        <v>62</v>
      </c>
      <c r="D6" s="14" t="s">
        <v>64</v>
      </c>
      <c r="E6" s="14">
        <v>4</v>
      </c>
      <c r="F6" s="14" t="s">
        <v>55</v>
      </c>
      <c r="G6" s="14">
        <f>1/1000</f>
        <v>1E-3</v>
      </c>
      <c r="J6" s="14" t="s">
        <v>65</v>
      </c>
      <c r="K6" s="14">
        <f>K5+Param_Count</f>
        <v>60</v>
      </c>
      <c r="L6" s="14">
        <v>5</v>
      </c>
      <c r="N6" s="14" t="s">
        <v>66</v>
      </c>
      <c r="P6" s="14" t="s">
        <v>67</v>
      </c>
      <c r="Q6" s="14" t="s">
        <v>68</v>
      </c>
      <c r="R6" s="14" t="str">
        <f>P6</f>
        <v>Double_All</v>
      </c>
      <c r="S6" s="14" t="str">
        <f>M5 &amp; "_" &amp; P6</f>
        <v>Fast_Build_Double_All</v>
      </c>
      <c r="T6" s="14" t="s">
        <v>69</v>
      </c>
      <c r="U6" s="14">
        <v>350</v>
      </c>
      <c r="V6" s="14">
        <v>20</v>
      </c>
    </row>
    <row r="7" spans="1:22" x14ac:dyDescent="0.85">
      <c r="A7" s="14" t="s">
        <v>70</v>
      </c>
      <c r="B7" s="14" t="s">
        <v>71</v>
      </c>
      <c r="C7" s="14" t="s">
        <v>70</v>
      </c>
      <c r="D7" s="14" t="s">
        <v>1</v>
      </c>
      <c r="E7" s="14">
        <v>5</v>
      </c>
      <c r="F7" s="14" t="s">
        <v>72</v>
      </c>
      <c r="G7" s="14">
        <v>1</v>
      </c>
      <c r="J7" s="14" t="s">
        <v>73</v>
      </c>
      <c r="K7" s="14">
        <f>K6+Param_Count</f>
        <v>71</v>
      </c>
      <c r="L7" s="14">
        <v>6</v>
      </c>
      <c r="U7" s="14">
        <v>500</v>
      </c>
      <c r="V7" s="14">
        <v>30</v>
      </c>
    </row>
    <row r="8" spans="1:22" x14ac:dyDescent="0.85">
      <c r="A8" s="14" t="s">
        <v>74</v>
      </c>
      <c r="B8" s="14" t="s">
        <v>75</v>
      </c>
      <c r="C8" s="14" t="s">
        <v>74</v>
      </c>
      <c r="J8" s="14" t="s">
        <v>0</v>
      </c>
      <c r="L8" s="14">
        <v>7</v>
      </c>
    </row>
    <row r="9" spans="1:22" x14ac:dyDescent="0.85">
      <c r="A9" s="14" t="s">
        <v>76</v>
      </c>
      <c r="B9" s="14" t="s">
        <v>77</v>
      </c>
      <c r="C9" s="14" t="s">
        <v>76</v>
      </c>
      <c r="D9" s="13"/>
    </row>
    <row r="10" spans="1:22" x14ac:dyDescent="0.85">
      <c r="A10" s="14" t="s">
        <v>78</v>
      </c>
      <c r="B10" s="14" t="s">
        <v>79</v>
      </c>
      <c r="C10" s="14" t="s">
        <v>78</v>
      </c>
    </row>
    <row r="11" spans="1:22" x14ac:dyDescent="0.85">
      <c r="A11" s="14" t="s">
        <v>80</v>
      </c>
      <c r="B11" s="14" t="s">
        <v>81</v>
      </c>
      <c r="C11" s="14" t="s">
        <v>80</v>
      </c>
    </row>
    <row r="12" spans="1:22" x14ac:dyDescent="0.85">
      <c r="A12" s="14" t="s">
        <v>82</v>
      </c>
      <c r="B12" s="14" t="s">
        <v>83</v>
      </c>
      <c r="C12" s="14" t="s">
        <v>82</v>
      </c>
    </row>
    <row r="13" spans="1:22" x14ac:dyDescent="0.85">
      <c r="A13" s="14" t="s">
        <v>84</v>
      </c>
      <c r="B13" s="14" t="s">
        <v>85</v>
      </c>
      <c r="C13" s="14" t="s">
        <v>84</v>
      </c>
    </row>
    <row r="14" spans="1:22" x14ac:dyDescent="0.85">
      <c r="A14" s="14" t="s">
        <v>86</v>
      </c>
      <c r="B14" s="14" t="s">
        <v>87</v>
      </c>
      <c r="C14" s="14" t="s">
        <v>86</v>
      </c>
    </row>
    <row r="15" spans="1:22" x14ac:dyDescent="0.85">
      <c r="A15" s="14" t="s">
        <v>88</v>
      </c>
      <c r="B15" s="14" t="s">
        <v>89</v>
      </c>
      <c r="C15" s="14" t="s">
        <v>88</v>
      </c>
      <c r="O15" s="14">
        <f t="shared" ref="O15" si="2">M15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32</vt:i4>
      </vt:variant>
    </vt:vector>
  </HeadingPairs>
  <TitlesOfParts>
    <vt:vector size="38" baseType="lpstr">
      <vt:lpstr>Graph</vt:lpstr>
      <vt:lpstr>Graph_1y</vt:lpstr>
      <vt:lpstr>Calc</vt:lpstr>
      <vt:lpstr>Calc_1y</vt:lpstr>
      <vt:lpstr>Cases</vt:lpstr>
      <vt:lpstr>Reference</vt:lpstr>
      <vt:lpstr>_1st_ref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CO2_Constant</vt:lpstr>
      <vt:lpstr>CO2_Per_Year</vt:lpstr>
      <vt:lpstr>Dir2Long</vt:lpstr>
      <vt:lpstr>First_Case</vt:lpstr>
      <vt:lpstr>First_Description</vt:lpstr>
      <vt:lpstr>Graph_1y_Key_Cells</vt:lpstr>
      <vt:lpstr>Graph_Key_Cells</vt:lpstr>
      <vt:lpstr>NRG_Selections</vt:lpstr>
      <vt:lpstr>NRG_Table</vt:lpstr>
      <vt:lpstr>Param_Count</vt:lpstr>
      <vt:lpstr>Param_Table</vt:lpstr>
      <vt:lpstr>Params</vt:lpstr>
      <vt:lpstr>Region</vt:lpstr>
      <vt:lpstr>Region_1y</vt:lpstr>
      <vt:lpstr>Region_abbr</vt:lpstr>
      <vt:lpstr>Region_lookup</vt:lpstr>
      <vt:lpstr>Regions</vt:lpstr>
      <vt:lpstr>Selected_NRG</vt:lpstr>
      <vt:lpstr>Selected_Year</vt:lpstr>
      <vt:lpstr>Sub2Long</vt:lpstr>
      <vt:lpstr>Table_Corner</vt:lpstr>
      <vt:lpstr>Table_Corner_1y</vt:lpstr>
      <vt:lpstr>To_Long</vt:lpstr>
      <vt:lpstr>Year_1y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2024-06-22T16:18:33Z</dcterms:modified>
</cp:coreProperties>
</file>