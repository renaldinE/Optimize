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18CC2FC0-E225-4875-B6B0-CF7F4C015198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Lifetime">Inbox!$AK$2</definedName>
    <definedName name="Coal_Max_PCT">Inbox!$AE$2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Lifetime">Inbox!$AJ$2</definedName>
    <definedName name="Gas_Max_PCT">Inbox!$AD$2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Lifetime">Inbox!$AI$2</definedName>
    <definedName name="Nuclear_Max_PCT">Inbox!$AC$2</definedName>
    <definedName name="Nuclear_Variable">Inbox!$W$2</definedName>
    <definedName name="One_Params">Inbox!$G$2:$AL$2</definedName>
    <definedName name="Param_Start">Program!$E$6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Lifetime">Inbox!$AG$2</definedName>
    <definedName name="Solar_Max_PCT">Inbox!$AA$2</definedName>
    <definedName name="Solar_Variable">Inbox!$U$2</definedName>
    <definedName name="Storage_Cap">Inbox!$N$2</definedName>
    <definedName name="Storage_Capital">Inbox!$N$2</definedName>
    <definedName name="Storage_Fixed">Inbox!$T$2</definedName>
    <definedName name="Storage_Lifetime">Inbox!$AL$2</definedName>
    <definedName name="Storage_Max_PCT">Inbox!$AF$2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Lifetime">Inbox!$AH$2</definedName>
    <definedName name="Wind_Max_PCT">Inbox!$AB$2</definedName>
    <definedName name="Wind_Max_Rate">Inbox!$AB$2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F3" authorId="0" shapeId="0" xr:uid="{7FFCB24F-D914-4DE5-AF85-EE2C651C261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"Initial" Column Only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<sst xmlns="http://schemas.openxmlformats.org/spreadsheetml/2006/main" count="224" uniqueCount="129">
  <si>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</si>
  <si>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</si>
  <si>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</si>
  <si>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</si>
  <si>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</si>
  <si>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</si>
  <si>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</si>
  <si>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</si>
  <si>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</si>
  <si>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</si>
  <si>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</si>
  <si>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</si>
  <si>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</si>
  <si>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</si>
  <si>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</si>
  <si>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</si>
  <si>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</si>
  <si>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</si>
  <si>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</si>
  <si>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</si>
  <si>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</si>
  <si>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</si>
  <si>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</si>
  <si>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</si>
  <si>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</si>
  <si>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</si>
  <si>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</si>
  <si>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</si>
  <si>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</si>
  <si>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</si>
  <si>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</si>
  <si>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</si>
  <si>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</si>
  <si>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</si>
  <si>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</si>
  <si>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</si>
  <si>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</si>
  <si>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</si>
  <si>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</si>
  <si>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</si>
  <si>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</si>
  <si>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</si>
  <si>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</si>
  <si>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</si>
  <si>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</si>
  <si>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</si>
  <si>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</si>
  <si>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</si>
  <si>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</si>
  <si>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</si>
  <si>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</si>
  <si>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</si>
  <si>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</si>
  <si>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</si>
  <si>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</si>
  <si>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</si>
  <si>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</si>
  <si>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</si>
  <si>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</si>
  <si>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</si>
  <si>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</si>
  <si>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</si>
  <si>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</si>
  <si>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</si>
  <si>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</si>
  <si>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</si>
  <si>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</si>
  <si>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Filenames will include Title.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</si>
  <si>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</si>
  <si>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</si>
  <si>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</si>
  <si>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</si>
  <si>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</si>
  <si>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</si>
  <si>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</si>
  <si>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</si>
  <si>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</si>
  <si>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</si>
  <si>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</si>
  <si>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</si>
  <si>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</si>
  <si>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</si>
  <si>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</si>
  <si>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</si>
  <si>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</si>
  <si>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</si>
  <si>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</si>
  <si>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</si>
  <si>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</si>
  <si>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</si>
  <si>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</si>
  <si>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</si>
  <si>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</si>
  <si>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</si>
  <si>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</si>
  <si>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</si>
  <si>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</si>
  <si>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</si>
  <si>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</si>
  <si>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</si>
  <si>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</si>
  <si>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</si>
  <si>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</si>
  <si>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</si>
  <si>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Cool_down</t>
  </si>
  <si>
    <t>Seconds</t>
  </si>
  <si>
    <t>Idle to cool down processor</t>
  </si>
  <si>
    <t>_Lifetime</t>
  </si>
  <si>
    <t>Lifetime before retire</t>
  </si>
  <si>
    <t>Max increase, as a % of total MW</t>
  </si>
  <si>
    <t>Full-2024-01-20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</si>
  <si>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</si>
  <si>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</si>
  <si>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</si>
  <si>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</si>
  <si>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</si>
  <si>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</si>
  <si>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</si>
  <si>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</si>
  <si>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</si>
  <si>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</si>
  <si>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</si>
  <si>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</si>
  <si>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</si>
  <si>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</si>
  <si>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</si>
  <si>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CO2-500-5y-killcoal</t>
  </si>
  <si>
    <t>CO2-500-5y-MaxNuc</t>
  </si>
  <si>
    <t>CO2-500-5y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</si>
</sst>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4" xfId="0" applyBorder="1"/>
  </cellXfs>
  <cellStyles count="1">
    <cellStyle name="Normal" xfId="0" builtinId="0"/>
  </cellStyles>
  <dxfs count="13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76"/>
  <sheetViews>
    <sheetView tabSelected="1" workbookViewId="0">
      <pane ySplit="1" topLeftCell="A2" activePane="bottomLeft" state="frozen"/>
      <selection activeCell="B1" sqref="B1"/>
      <selection pane="bottomLeft" activeCell="D8" sqref="D8"/>
    </sheetView>
  </sheetViews>
  <sheetFormatPr defaultRowHeight="14.6" x14ac:dyDescent="0.85"/>
  <cols>
    <col min="1" max="1" width="14.19140625" style="20" customWidth="1"/>
    <col min="2" max="2" width="15.34375" style="20" customWidth="1"/>
    <col min="3" max="3" width="7.69140625" style="20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1" t="s">
        <v>15</v>
      </c>
      <c r="B1" s="12" t="s">
        <v>38</v>
      </c>
      <c r="C1" s="13" t="s">
        <v>39</v>
      </c>
      <c r="E1" s="17" t="s">
        <v>18</v>
      </c>
      <c r="F1" s="18" t="s">
        <v>38</v>
      </c>
      <c r="G1" s="37" t="s">
        <v>39</v>
      </c>
      <c r="H1" s="19" t="s">
        <v>35</v>
      </c>
      <c r="I1" s="16"/>
      <c r="J1" s="14" t="s">
        <v>0</v>
      </c>
      <c r="K1" s="15"/>
    </row>
    <row r="2" spans="1:11" ht="14.65" x14ac:dyDescent="0.85">
      <c r="A2" s="21" t="s">
        <v>33</v>
      </c>
      <c r="B2" s="22"/>
      <c r="C2" s="23"/>
      <c r="E2" s="4" t="s">
        <v>33</v>
      </c>
      <c r="F2" s="5" t="s">
        <v>47</v>
      </c>
      <c r="G2" s="5" t="s">
        <v>47</v>
      </c>
      <c r="H2" s="6" t="s">
        <v>70</v>
      </c>
      <c r="J2" s="9" t="s">
        <v>1</v>
      </c>
    </row>
    <row r="3" spans="1:11" ht="14.65" x14ac:dyDescent="0.85">
      <c r="A3" s="24" t="s">
        <v>34</v>
      </c>
      <c r="B3" s="25" t="s">
        <v>1</v>
      </c>
      <c r="C3" s="26"/>
      <c r="E3" s="4" t="s">
        <v>16</v>
      </c>
      <c r="F3" s="5" t="s">
        <v>48</v>
      </c>
      <c r="G3" s="5" t="s">
        <v>47</v>
      </c>
      <c r="H3" s="6" t="s">
        <v>67</v>
      </c>
      <c r="J3" s="9" t="s">
        <v>2</v>
      </c>
    </row>
    <row r="4" spans="1:11" ht="14.65" x14ac:dyDescent="0.85">
      <c r="A4" s="27" t="s">
        <v>37</v>
      </c>
      <c r="B4" s="25">
        <v>5</v>
      </c>
      <c r="C4" s="26"/>
      <c r="E4" s="4" t="s">
        <v>68</v>
      </c>
      <c r="F4" s="5" t="s">
        <v>48</v>
      </c>
      <c r="G4" s="5" t="s">
        <v>47</v>
      </c>
      <c r="H4" s="6" t="s">
        <v>69</v>
      </c>
      <c r="J4" s="9" t="s">
        <v>3</v>
      </c>
    </row>
    <row r="5" spans="1:11" ht="14.65" x14ac:dyDescent="0.85">
      <c r="A5" s="27" t="s">
        <v>40</v>
      </c>
      <c r="B5" s="25">
        <v>0.02</v>
      </c>
      <c r="C5" s="26">
        <v>0</v>
      </c>
      <c r="E5" s="4" t="s">
        <v>19</v>
      </c>
      <c r="F5" s="5" t="s">
        <v>47</v>
      </c>
      <c r="G5" s="5" t="s">
        <v>47</v>
      </c>
      <c r="H5" s="6" t="s">
        <v>20</v>
      </c>
      <c r="J5" s="9" t="s">
        <v>4</v>
      </c>
    </row>
    <row r="6" spans="1:11" x14ac:dyDescent="0.85">
      <c r="A6" s="33" t="s">
        <v>64</v>
      </c>
      <c r="B6" s="25" t="s">
        <v>110</v>
      </c>
      <c r="C6" s="26"/>
      <c r="E6" s="4" t="s">
        <v>37</v>
      </c>
      <c r="F6" s="5" t="s">
        <v>50</v>
      </c>
      <c r="G6" s="5" t="s">
        <v>47</v>
      </c>
      <c r="H6" s="6" t="s">
        <v>49</v>
      </c>
      <c r="J6" s="9" t="s">
        <v>5</v>
      </c>
    </row>
    <row r="7" spans="1:11" x14ac:dyDescent="0.85">
      <c r="A7" s="33" t="s">
        <v>73</v>
      </c>
      <c r="B7" s="25"/>
      <c r="C7" s="26"/>
      <c r="E7" s="4" t="s">
        <v>64</v>
      </c>
      <c r="F7" s="5" t="s">
        <v>65</v>
      </c>
      <c r="G7" s="5" t="s">
        <v>47</v>
      </c>
      <c r="H7" s="6" t="s">
        <v>66</v>
      </c>
      <c r="J7" s="9" t="s">
        <v>6</v>
      </c>
    </row>
    <row r="8" spans="1:11" x14ac:dyDescent="0.85">
      <c r="A8" s="24" t="s">
        <v>71</v>
      </c>
      <c r="B8" s="25">
        <v>500</v>
      </c>
      <c r="C8" s="26">
        <v>0</v>
      </c>
      <c r="E8" s="4" t="s">
        <v>104</v>
      </c>
      <c r="F8" s="5" t="s">
        <v>105</v>
      </c>
      <c r="G8" s="7" t="s">
        <v>47</v>
      </c>
      <c r="H8" s="6" t="s">
        <v>106</v>
      </c>
      <c r="J8" s="9" t="s">
        <v>7</v>
      </c>
    </row>
    <row r="9" spans="1:11" x14ac:dyDescent="0.85">
      <c r="A9" s="27" t="s">
        <v>16</v>
      </c>
      <c r="B9" s="25" t="s">
        <v>128</v>
      </c>
      <c r="C9" s="26"/>
      <c r="E9" s="4" t="s">
        <v>71</v>
      </c>
      <c r="F9" s="5" t="s">
        <v>91</v>
      </c>
      <c r="G9" s="7" t="s">
        <v>92</v>
      </c>
      <c r="H9" s="6"/>
      <c r="J9" s="9" t="s">
        <v>8</v>
      </c>
    </row>
    <row r="10" spans="1:11" x14ac:dyDescent="0.85">
      <c r="A10" s="24" t="s">
        <v>102</v>
      </c>
      <c r="B10" s="25">
        <v>-0.9</v>
      </c>
      <c r="C10" s="26">
        <v>0</v>
      </c>
      <c r="E10" s="4" t="s">
        <v>40</v>
      </c>
      <c r="F10" s="5" t="s">
        <v>41</v>
      </c>
      <c r="G10" s="5" t="s">
        <v>47</v>
      </c>
      <c r="H10" s="6" t="s">
        <v>51</v>
      </c>
      <c r="J10" s="9" t="s">
        <v>9</v>
      </c>
    </row>
    <row r="11" spans="1:11" x14ac:dyDescent="0.85">
      <c r="A11" s="27" t="s">
        <v>16</v>
      </c>
      <c r="B11" s="25" t="s">
        <v>126</v>
      </c>
      <c r="C11" s="26"/>
      <c r="E11" s="4" t="s">
        <v>82</v>
      </c>
      <c r="F11" s="5" t="s">
        <v>83</v>
      </c>
      <c r="G11" s="5" t="s">
        <v>47</v>
      </c>
      <c r="H11" s="6" t="s">
        <v>87</v>
      </c>
      <c r="J11" s="9" t="s">
        <v>10</v>
      </c>
    </row>
    <row r="12" spans="1:11" x14ac:dyDescent="0.85">
      <c r="A12" s="33" t="s">
        <v>120</v>
      </c>
      <c r="B12" s="25">
        <v>1</v>
      </c>
      <c r="C12" s="26">
        <v>0</v>
      </c>
      <c r="E12" s="35" t="s">
        <v>73</v>
      </c>
      <c r="F12" s="5" t="s">
        <v>47</v>
      </c>
      <c r="G12" s="5" t="s">
        <v>47</v>
      </c>
      <c r="H12" s="36" t="s">
        <v>90</v>
      </c>
      <c r="J12" s="9" t="s">
        <v>11</v>
      </c>
    </row>
    <row r="13" spans="1:11" ht="15.25" thickBot="1" x14ac:dyDescent="1">
      <c r="A13" s="24" t="s">
        <v>16</v>
      </c>
      <c r="B13" s="25" t="s">
        <v>127</v>
      </c>
      <c r="C13" s="26"/>
      <c r="E13" s="35" t="s">
        <v>89</v>
      </c>
      <c r="F13" s="5" t="s">
        <v>47</v>
      </c>
      <c r="G13" s="5" t="s">
        <v>47</v>
      </c>
      <c r="H13" s="36" t="s">
        <v>96</v>
      </c>
      <c r="J13" s="9" t="s">
        <v>12</v>
      </c>
    </row>
    <row r="14" spans="1:11" ht="15.25" thickBot="1" x14ac:dyDescent="1">
      <c r="A14" s="27"/>
      <c r="B14" s="25"/>
      <c r="C14" s="26"/>
      <c r="E14" s="41" t="s">
        <v>86</v>
      </c>
      <c r="F14" s="42"/>
      <c r="G14" s="43"/>
      <c r="H14" s="44"/>
      <c r="J14" s="9" t="s">
        <v>13</v>
      </c>
    </row>
    <row r="15" spans="1:11" ht="15.25" thickBot="1" x14ac:dyDescent="1">
      <c r="A15" s="24"/>
      <c r="B15" s="25"/>
      <c r="C15" s="26"/>
      <c r="E15" s="38" t="s">
        <v>97</v>
      </c>
      <c r="F15" s="45" t="s">
        <v>124</v>
      </c>
      <c r="G15" s="45" t="s">
        <v>125</v>
      </c>
      <c r="H15" s="39" t="s">
        <v>93</v>
      </c>
      <c r="J15" s="10" t="s">
        <v>14</v>
      </c>
    </row>
    <row r="16" spans="1:11" x14ac:dyDescent="0.85">
      <c r="A16" s="24"/>
      <c r="B16" s="25"/>
      <c r="C16" s="26"/>
      <c r="E16" s="4" t="s">
        <v>84</v>
      </c>
      <c r="F16" s="46"/>
      <c r="G16" s="46"/>
      <c r="H16" s="6" t="s">
        <v>94</v>
      </c>
      <c r="J16" s="8"/>
    </row>
    <row r="17" spans="1:8" x14ac:dyDescent="0.85">
      <c r="A17" s="24"/>
      <c r="B17" s="25"/>
      <c r="C17" s="26"/>
      <c r="E17" s="4" t="s">
        <v>85</v>
      </c>
      <c r="F17" s="46"/>
      <c r="G17" s="46"/>
      <c r="H17" s="6" t="s">
        <v>95</v>
      </c>
    </row>
    <row r="18" spans="1:8" x14ac:dyDescent="0.85">
      <c r="A18" s="24"/>
      <c r="B18" s="25"/>
      <c r="C18" s="26"/>
      <c r="E18" s="4" t="s">
        <v>107</v>
      </c>
      <c r="F18" s="46"/>
      <c r="G18" s="46"/>
      <c r="H18" s="6" t="s">
        <v>108</v>
      </c>
    </row>
    <row r="19" spans="1:8" ht="15.25" thickBot="1" x14ac:dyDescent="1">
      <c r="A19" s="24"/>
      <c r="B19" s="25"/>
      <c r="C19" s="26"/>
      <c r="E19" s="40" t="s">
        <v>111</v>
      </c>
      <c r="F19" s="47"/>
      <c r="G19" s="47"/>
      <c r="H19" s="34" t="s">
        <v>109</v>
      </c>
    </row>
    <row r="20" spans="1:8" x14ac:dyDescent="0.85">
      <c r="A20" s="24"/>
      <c r="B20" s="25"/>
      <c r="C20" s="26"/>
    </row>
    <row r="21" spans="1:8" x14ac:dyDescent="0.85">
      <c r="A21" s="24"/>
      <c r="B21" s="25"/>
      <c r="C21" s="26"/>
    </row>
    <row r="22" spans="1:8" x14ac:dyDescent="0.85">
      <c r="A22" s="24"/>
      <c r="B22" s="25"/>
      <c r="C22" s="26"/>
    </row>
    <row r="23" spans="1:8" x14ac:dyDescent="0.85">
      <c r="A23" s="24"/>
      <c r="B23" s="25"/>
      <c r="C23" s="26"/>
    </row>
    <row r="24" spans="1:8" x14ac:dyDescent="0.85">
      <c r="A24" s="24"/>
      <c r="B24" s="25"/>
      <c r="C24" s="26"/>
    </row>
    <row r="25" spans="1:8" x14ac:dyDescent="0.85">
      <c r="A25" s="24"/>
      <c r="B25" s="25"/>
      <c r="C25" s="26"/>
    </row>
    <row r="26" spans="1:8" x14ac:dyDescent="0.85">
      <c r="A26" s="24"/>
      <c r="B26" s="25"/>
      <c r="C26" s="26"/>
    </row>
    <row r="27" spans="1:8" x14ac:dyDescent="0.85">
      <c r="A27" s="24"/>
      <c r="B27" s="25"/>
      <c r="C27" s="26"/>
    </row>
    <row r="28" spans="1:8" x14ac:dyDescent="0.85">
      <c r="A28" s="24"/>
      <c r="B28" s="25"/>
      <c r="C28" s="26"/>
    </row>
    <row r="29" spans="1:8" x14ac:dyDescent="0.85">
      <c r="A29" s="24"/>
      <c r="B29" s="25"/>
      <c r="C29" s="26"/>
    </row>
    <row r="30" spans="1:8" x14ac:dyDescent="0.85">
      <c r="A30" s="24"/>
      <c r="B30" s="25"/>
      <c r="C30" s="26"/>
    </row>
    <row r="31" spans="1:8" x14ac:dyDescent="0.85">
      <c r="A31" s="24"/>
      <c r="B31" s="25"/>
      <c r="C31" s="26"/>
    </row>
    <row r="32" spans="1:8" x14ac:dyDescent="0.85">
      <c r="A32" s="24"/>
      <c r="B32" s="25"/>
      <c r="C32" s="26"/>
    </row>
    <row r="33" spans="1:3" x14ac:dyDescent="0.85">
      <c r="A33" s="24"/>
      <c r="B33" s="25"/>
      <c r="C33" s="26"/>
    </row>
    <row r="34" spans="1:3" x14ac:dyDescent="0.85">
      <c r="A34" s="24"/>
      <c r="B34" s="25"/>
      <c r="C34" s="26"/>
    </row>
    <row r="35" spans="1:3" x14ac:dyDescent="0.85">
      <c r="A35" s="24"/>
      <c r="B35" s="25"/>
      <c r="C35" s="26"/>
    </row>
    <row r="36" spans="1:3" x14ac:dyDescent="0.85">
      <c r="A36" s="24"/>
      <c r="B36" s="25"/>
      <c r="C36" s="26"/>
    </row>
    <row r="37" spans="1:3" x14ac:dyDescent="0.85">
      <c r="A37" s="24"/>
      <c r="B37" s="25"/>
      <c r="C37" s="26"/>
    </row>
    <row r="38" spans="1:3" x14ac:dyDescent="0.85">
      <c r="A38" s="24"/>
      <c r="B38" s="25"/>
      <c r="C38" s="26"/>
    </row>
    <row r="39" spans="1:3" x14ac:dyDescent="0.85">
      <c r="A39" s="24"/>
      <c r="B39" s="25"/>
      <c r="C39" s="26"/>
    </row>
    <row r="40" spans="1:3" x14ac:dyDescent="0.85">
      <c r="A40" s="24"/>
      <c r="B40" s="25"/>
      <c r="C40" s="26"/>
    </row>
    <row r="41" spans="1:3" x14ac:dyDescent="0.85">
      <c r="A41" s="24"/>
      <c r="B41" s="25"/>
      <c r="C41" s="26"/>
    </row>
    <row r="42" spans="1:3" x14ac:dyDescent="0.85">
      <c r="A42" s="24"/>
      <c r="B42" s="25"/>
      <c r="C42" s="26"/>
    </row>
    <row r="43" spans="1:3" x14ac:dyDescent="0.85">
      <c r="A43" s="24"/>
      <c r="B43" s="25"/>
      <c r="C43" s="26"/>
    </row>
    <row r="44" spans="1:3" x14ac:dyDescent="0.85">
      <c r="A44" s="24"/>
      <c r="B44" s="25"/>
      <c r="C44" s="26"/>
    </row>
    <row r="45" spans="1:3" x14ac:dyDescent="0.85">
      <c r="A45" s="24"/>
      <c r="B45" s="25"/>
      <c r="C45" s="26"/>
    </row>
    <row r="46" spans="1:3" x14ac:dyDescent="0.85">
      <c r="A46" s="24"/>
      <c r="B46" s="25"/>
      <c r="C46" s="26"/>
    </row>
    <row r="47" spans="1:3" x14ac:dyDescent="0.85">
      <c r="A47" s="24"/>
      <c r="B47" s="25"/>
      <c r="C47" s="26"/>
    </row>
    <row r="48" spans="1:3" x14ac:dyDescent="0.85">
      <c r="A48" s="24"/>
      <c r="B48" s="25"/>
      <c r="C48" s="26"/>
    </row>
    <row r="49" spans="1:3" x14ac:dyDescent="0.85">
      <c r="A49" s="24"/>
      <c r="B49" s="25"/>
      <c r="C49" s="26"/>
    </row>
    <row r="50" spans="1:3" x14ac:dyDescent="0.85">
      <c r="A50" s="24"/>
      <c r="B50" s="25"/>
      <c r="C50" s="26"/>
    </row>
    <row r="51" spans="1:3" x14ac:dyDescent="0.85">
      <c r="A51" s="24"/>
      <c r="B51" s="25"/>
      <c r="C51" s="26"/>
    </row>
    <row r="52" spans="1:3" x14ac:dyDescent="0.85">
      <c r="A52" s="24"/>
      <c r="B52" s="25"/>
      <c r="C52" s="26"/>
    </row>
    <row r="53" spans="1:3" x14ac:dyDescent="0.85">
      <c r="A53" s="24"/>
      <c r="B53" s="25"/>
      <c r="C53" s="26"/>
    </row>
    <row r="54" spans="1:3" x14ac:dyDescent="0.85">
      <c r="A54" s="24"/>
      <c r="B54" s="25"/>
      <c r="C54" s="26"/>
    </row>
    <row r="55" spans="1:3" x14ac:dyDescent="0.85">
      <c r="A55" s="24"/>
      <c r="B55" s="25"/>
      <c r="C55" s="26"/>
    </row>
    <row r="56" spans="1:3" x14ac:dyDescent="0.85">
      <c r="A56" s="24"/>
      <c r="B56" s="25"/>
      <c r="C56" s="26"/>
    </row>
    <row r="57" spans="1:3" x14ac:dyDescent="0.85">
      <c r="A57" s="24"/>
      <c r="B57" s="25"/>
      <c r="C57" s="26"/>
    </row>
    <row r="58" spans="1:3" x14ac:dyDescent="0.85">
      <c r="A58" s="24"/>
      <c r="B58" s="25"/>
      <c r="C58" s="26"/>
    </row>
    <row r="59" spans="1:3" x14ac:dyDescent="0.85">
      <c r="A59" s="24"/>
      <c r="B59" s="25"/>
      <c r="C59" s="26"/>
    </row>
    <row r="60" spans="1:3" x14ac:dyDescent="0.85">
      <c r="A60" s="24"/>
      <c r="B60" s="25"/>
      <c r="C60" s="26"/>
    </row>
    <row r="61" spans="1:3" x14ac:dyDescent="0.85">
      <c r="A61" s="24"/>
      <c r="B61" s="25"/>
      <c r="C61" s="26"/>
    </row>
    <row r="62" spans="1:3" x14ac:dyDescent="0.85">
      <c r="A62" s="24"/>
      <c r="B62" s="25"/>
      <c r="C62" s="26"/>
    </row>
    <row r="63" spans="1:3" x14ac:dyDescent="0.85">
      <c r="A63" s="24"/>
      <c r="B63" s="25"/>
      <c r="C63" s="26"/>
    </row>
    <row r="64" spans="1:3" x14ac:dyDescent="0.85">
      <c r="A64" s="24"/>
      <c r="B64" s="25"/>
      <c r="C64" s="26"/>
    </row>
    <row r="65" spans="1:3" x14ac:dyDescent="0.85">
      <c r="A65" s="24"/>
      <c r="B65" s="25"/>
      <c r="C65" s="26"/>
    </row>
    <row r="66" spans="1:3" x14ac:dyDescent="0.85">
      <c r="A66" s="24"/>
      <c r="B66" s="25"/>
      <c r="C66" s="26"/>
    </row>
    <row r="67" spans="1:3" x14ac:dyDescent="0.85">
      <c r="A67" s="24"/>
      <c r="B67" s="25"/>
      <c r="C67" s="26"/>
    </row>
    <row r="68" spans="1:3" x14ac:dyDescent="0.85">
      <c r="A68" s="24"/>
      <c r="B68" s="25"/>
      <c r="C68" s="26"/>
    </row>
    <row r="69" spans="1:3" x14ac:dyDescent="0.85">
      <c r="A69" s="24"/>
      <c r="B69" s="25"/>
      <c r="C69" s="26"/>
    </row>
    <row r="70" spans="1:3" x14ac:dyDescent="0.85">
      <c r="A70" s="24"/>
      <c r="B70" s="25"/>
      <c r="C70" s="26"/>
    </row>
    <row r="71" spans="1:3" x14ac:dyDescent="0.85">
      <c r="A71" s="24"/>
      <c r="B71" s="25"/>
      <c r="C71" s="26"/>
    </row>
    <row r="72" spans="1:3" x14ac:dyDescent="0.85">
      <c r="A72" s="24"/>
      <c r="B72" s="25"/>
      <c r="C72" s="26"/>
    </row>
    <row r="73" spans="1:3" x14ac:dyDescent="0.85">
      <c r="A73" s="24"/>
      <c r="B73" s="25"/>
      <c r="C73" s="26"/>
    </row>
    <row r="74" spans="1:3" x14ac:dyDescent="0.85">
      <c r="A74" s="24"/>
      <c r="B74" s="25"/>
      <c r="C74" s="26"/>
    </row>
    <row r="75" spans="1:3" x14ac:dyDescent="0.85">
      <c r="A75" s="24"/>
      <c r="B75" s="25"/>
      <c r="C75" s="26"/>
    </row>
    <row r="76" spans="1:3" ht="15.25" thickBot="1" x14ac:dyDescent="1">
      <c r="A76" s="28"/>
      <c r="B76" s="29"/>
      <c r="C76" s="30"/>
    </row>
  </sheetData>
  <mergeCells count="3">
    <mergeCell ref="E14:H14"/>
    <mergeCell ref="F15:F19"/>
    <mergeCell ref="G15:G19"/>
  </mergeCells>
  <conditionalFormatting sqref="B15:C76 B2:C5">
    <cfRule type="expression" dxfId="12" priority="71">
      <formula>AND($A2&lt;&gt; "CO2_Price", $A2 &lt;&gt; "Years", $A2&lt;&gt;"Cool_Down")</formula>
    </cfRule>
  </conditionalFormatting>
  <conditionalFormatting sqref="C12 B7:C8 C9">
    <cfRule type="expression" dxfId="11" priority="31">
      <formula>AND($A7&lt;&gt; "CO2_Price", $A7 &lt;&gt; "Years")</formula>
    </cfRule>
  </conditionalFormatting>
  <conditionalFormatting sqref="B6:C6">
    <cfRule type="expression" dxfId="10" priority="23">
      <formula>AND($A6&lt;&gt; "CO2_Price", $A6 &lt;&gt; "Years")</formula>
    </cfRule>
  </conditionalFormatting>
  <conditionalFormatting sqref="B10:C11">
    <cfRule type="expression" dxfId="9" priority="10">
      <formula>AND($A10&lt;&gt; "CO2_Price", $A10 &lt;&gt; "Years")</formula>
    </cfRule>
  </conditionalFormatting>
  <conditionalFormatting sqref="B11">
    <cfRule type="expression" dxfId="8" priority="9">
      <formula>AND($A11&lt;&gt; "CO2_Price", $A11 &lt;&gt; "Years")</formula>
    </cfRule>
  </conditionalFormatting>
  <conditionalFormatting sqref="B13:C14">
    <cfRule type="expression" dxfId="7" priority="8">
      <formula>AND($A13&lt;&gt; "CO2_Price", $A13 &lt;&gt; "Years")</formula>
    </cfRule>
  </conditionalFormatting>
  <conditionalFormatting sqref="B14">
    <cfRule type="expression" dxfId="6" priority="7">
      <formula>AND($A14&lt;&gt; "CO2_Price", $A14 &lt;&gt; "Years")</formula>
    </cfRule>
  </conditionalFormatting>
  <conditionalFormatting sqref="B12">
    <cfRule type="expression" dxfId="5" priority="3">
      <formula>AND($A12&lt;&gt; "CO2_Price", $A12 &lt;&gt; "Years", $A12&lt;&gt;"Cool_Down")</formula>
    </cfRule>
  </conditionalFormatting>
  <conditionalFormatting sqref="B9">
    <cfRule type="expression" dxfId="4" priority="2">
      <formula>AND($A9&lt;&gt; "CO2_Price", $A9 &lt;&gt; "Years")</formula>
    </cfRule>
  </conditionalFormatting>
  <conditionalFormatting sqref="B9">
    <cfRule type="expression" dxfId="3" priority="1">
      <formula>AND($A9&lt;&gt; "CO2_Price", $A9 &lt;&gt; "Years")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1" t="s">
        <v>15</v>
      </c>
      <c r="B1" s="12" t="s">
        <v>38</v>
      </c>
      <c r="C1" s="13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7" t="s">
        <v>53</v>
      </c>
      <c r="C9" s="6"/>
      <c r="D9" t="s">
        <v>56</v>
      </c>
    </row>
    <row r="10" spans="1:5" ht="14.6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7" t="s">
        <v>54</v>
      </c>
      <c r="C11" s="6"/>
      <c r="D11" t="s">
        <v>58</v>
      </c>
    </row>
    <row r="12" spans="1:5" ht="14.65" x14ac:dyDescent="0.85">
      <c r="A12" s="4"/>
      <c r="B12" s="7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2" t="s">
        <v>38</v>
      </c>
      <c r="C22" s="13" t="s">
        <v>39</v>
      </c>
      <c r="E22" s="12" t="s">
        <v>38</v>
      </c>
      <c r="F22" s="13" t="s">
        <v>39</v>
      </c>
    </row>
    <row r="23" spans="1:6" x14ac:dyDescent="0.85">
      <c r="B23">
        <v>5</v>
      </c>
      <c r="C23">
        <v>20</v>
      </c>
      <c r="E23" s="31">
        <v>0.05</v>
      </c>
      <c r="F23" s="31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2">
        <f>1+$E$23</f>
        <v>1.05</v>
      </c>
      <c r="F25" s="32"/>
    </row>
    <row r="26" spans="1:6" x14ac:dyDescent="0.85">
      <c r="A26">
        <v>1</v>
      </c>
      <c r="B26">
        <f t="shared" ref="B26:B35" si="0">$B$23+(A26*$C$23)</f>
        <v>25</v>
      </c>
      <c r="E26" s="32">
        <f>E25*(1+$F$23)</f>
        <v>1.26</v>
      </c>
      <c r="F26" s="32"/>
    </row>
    <row r="27" spans="1:6" x14ac:dyDescent="0.85">
      <c r="A27">
        <v>2</v>
      </c>
      <c r="B27">
        <f t="shared" si="0"/>
        <v>45</v>
      </c>
      <c r="E27" s="32">
        <f t="shared" ref="E27:E35" si="1">E26*(1+$F$23)</f>
        <v>1.512</v>
      </c>
      <c r="F27" s="32"/>
    </row>
    <row r="28" spans="1:6" x14ac:dyDescent="0.85">
      <c r="A28">
        <v>3</v>
      </c>
      <c r="B28">
        <f t="shared" si="0"/>
        <v>65</v>
      </c>
      <c r="E28" s="32">
        <f t="shared" si="1"/>
        <v>1.8144</v>
      </c>
      <c r="F28" s="32"/>
    </row>
    <row r="29" spans="1:6" x14ac:dyDescent="0.85">
      <c r="A29">
        <v>4</v>
      </c>
      <c r="B29">
        <f t="shared" si="0"/>
        <v>85</v>
      </c>
      <c r="E29" s="32">
        <f t="shared" si="1"/>
        <v>2.1772800000000001</v>
      </c>
      <c r="F29" s="32"/>
    </row>
    <row r="30" spans="1:6" x14ac:dyDescent="0.85">
      <c r="A30">
        <v>5</v>
      </c>
      <c r="B30">
        <f t="shared" si="0"/>
        <v>105</v>
      </c>
      <c r="E30" s="32">
        <f t="shared" si="1"/>
        <v>2.6127359999999999</v>
      </c>
      <c r="F30" s="32"/>
    </row>
    <row r="31" spans="1:6" x14ac:dyDescent="0.85">
      <c r="A31">
        <v>6</v>
      </c>
      <c r="B31">
        <f t="shared" si="0"/>
        <v>125</v>
      </c>
      <c r="E31" s="32">
        <f t="shared" si="1"/>
        <v>3.1352831999999999</v>
      </c>
      <c r="F31" s="32"/>
    </row>
    <row r="32" spans="1:6" x14ac:dyDescent="0.85">
      <c r="A32">
        <v>7</v>
      </c>
      <c r="B32">
        <f t="shared" si="0"/>
        <v>145</v>
      </c>
      <c r="E32" s="32">
        <f t="shared" si="1"/>
        <v>3.7623398399999997</v>
      </c>
      <c r="F32" s="32"/>
    </row>
    <row r="33" spans="1:5" x14ac:dyDescent="0.85">
      <c r="A33">
        <v>8</v>
      </c>
      <c r="B33">
        <f t="shared" si="0"/>
        <v>165</v>
      </c>
      <c r="E33" s="32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2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2">
        <f t="shared" si="1"/>
        <v>6.501323243519999</v>
      </c>
    </row>
    <row r="36" spans="1:5" x14ac:dyDescent="0.85">
      <c r="E36" s="32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AL5"/>
  <sheetViews>
    <sheetView workbookViewId="0">
      <selection activeCell="F2" sqref="F2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38" x14ac:dyDescent="0.85">
      <c r="B1" t="s">
        <v>64</v>
      </c>
      <c r="C1" t="s">
        <v>48</v>
      </c>
      <c r="D1" t="s">
        <v>34</v>
      </c>
      <c r="E1" t="s">
        <v>37</v>
      </c>
      <c r="F1" t="s">
        <v>82</v>
      </c>
      <c r="G1" t="s">
        <v>71</v>
      </c>
      <c r="H1" t="s">
        <v>40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118</v>
      </c>
      <c r="AB1" t="s">
        <v>119</v>
      </c>
      <c r="AC1" t="s">
        <v>120</v>
      </c>
      <c r="AD1" t="s">
        <v>121</v>
      </c>
      <c r="AE1" t="s">
        <v>122</v>
      </c>
      <c r="AF1" t="s">
        <v>123</v>
      </c>
      <c r="AG1" t="s">
        <v>98</v>
      </c>
      <c r="AH1" t="s">
        <v>99</v>
      </c>
      <c r="AI1" t="s">
        <v>100</v>
      </c>
      <c r="AJ1" t="s">
        <v>101</v>
      </c>
      <c r="AK1" t="s">
        <v>102</v>
      </c>
      <c r="AL1" t="s">
        <v>103</v>
      </c>
    </row>
    <row r="2" spans="1:38" x14ac:dyDescent="0.85">
      <c r="A2" t="s">
        <v>38</v>
      </c>
      <c r="B2" t="s">
        <v>110</v>
      </c>
      <c r="C2" t="s">
        <v>127</v>
      </c>
      <c r="D2" t="s">
        <v>1</v>
      </c>
      <c r="E2">
        <v>5</v>
      </c>
      <c r="F2">
        <v>0.12</v>
      </c>
      <c r="G2">
        <v>500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2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9.9999999999999978E-2</v>
      </c>
      <c r="AL2">
        <v>1</v>
      </c>
    </row>
    <row r="3" spans="1:38" x14ac:dyDescent="0.85">
      <c r="A3" t="s">
        <v>88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5" spans="1:38" x14ac:dyDescent="0.85">
      <c r="B5" t="s">
        <v>72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1" t="s">
        <v>15</v>
      </c>
      <c r="B1" s="12" t="s">
        <v>38</v>
      </c>
      <c r="C1" s="13" t="s">
        <v>39</v>
      </c>
      <c r="E1" s="11" t="s">
        <v>15</v>
      </c>
      <c r="F1" s="12" t="s">
        <v>38</v>
      </c>
      <c r="G1" s="13" t="s">
        <v>39</v>
      </c>
    </row>
    <row r="2" spans="1:7" ht="14.65" x14ac:dyDescent="0.85">
      <c r="A2" s="21" t="s">
        <v>33</v>
      </c>
      <c r="B2" s="22"/>
      <c r="C2" s="23"/>
      <c r="E2" s="21" t="s">
        <v>33</v>
      </c>
      <c r="F2" s="22"/>
      <c r="G2" s="23"/>
    </row>
    <row r="3" spans="1:7" ht="14.65" x14ac:dyDescent="0.85">
      <c r="A3" s="24" t="s">
        <v>34</v>
      </c>
      <c r="B3" s="25" t="s">
        <v>1</v>
      </c>
      <c r="C3" s="26"/>
      <c r="E3" s="24" t="s">
        <v>34</v>
      </c>
      <c r="F3" s="25" t="s">
        <v>81</v>
      </c>
      <c r="G3" s="26"/>
    </row>
    <row r="4" spans="1:7" ht="14.65" x14ac:dyDescent="0.85">
      <c r="A4" s="27" t="s">
        <v>40</v>
      </c>
      <c r="B4" s="25">
        <v>0.02</v>
      </c>
      <c r="C4" s="26">
        <v>0.02</v>
      </c>
      <c r="E4" s="27" t="s">
        <v>40</v>
      </c>
      <c r="F4" s="25">
        <v>0.02</v>
      </c>
      <c r="G4" s="26">
        <v>0.02</v>
      </c>
    </row>
    <row r="5" spans="1:7" ht="14.65" x14ac:dyDescent="0.85">
      <c r="A5" s="27" t="s">
        <v>37</v>
      </c>
      <c r="B5" s="25">
        <v>27</v>
      </c>
      <c r="C5" s="26"/>
      <c r="E5" s="27" t="s">
        <v>37</v>
      </c>
      <c r="F5" s="25">
        <v>3</v>
      </c>
      <c r="G5" s="26"/>
    </row>
    <row r="6" spans="1:7" ht="14.65" x14ac:dyDescent="0.85">
      <c r="A6" s="33" t="s">
        <v>64</v>
      </c>
      <c r="B6" s="25" t="s">
        <v>75</v>
      </c>
      <c r="C6" s="26"/>
      <c r="E6" s="33" t="s">
        <v>64</v>
      </c>
      <c r="F6" s="25" t="s">
        <v>74</v>
      </c>
      <c r="G6" s="26"/>
    </row>
    <row r="7" spans="1:7" ht="14.65" x14ac:dyDescent="0.85">
      <c r="A7" s="24" t="s">
        <v>71</v>
      </c>
      <c r="B7" s="25">
        <v>0</v>
      </c>
      <c r="C7" s="26">
        <v>0</v>
      </c>
      <c r="E7" s="33" t="s">
        <v>73</v>
      </c>
      <c r="F7" s="25"/>
      <c r="G7" s="26"/>
    </row>
    <row r="8" spans="1:7" ht="14.65" x14ac:dyDescent="0.85">
      <c r="A8" s="27" t="s">
        <v>16</v>
      </c>
      <c r="B8" s="25" t="s">
        <v>76</v>
      </c>
      <c r="C8" s="26"/>
      <c r="E8" s="24" t="s">
        <v>71</v>
      </c>
      <c r="F8" s="25">
        <v>0</v>
      </c>
      <c r="G8" s="26">
        <v>0</v>
      </c>
    </row>
    <row r="9" spans="1:7" ht="14.65" x14ac:dyDescent="0.85">
      <c r="A9" s="24" t="s">
        <v>71</v>
      </c>
      <c r="B9" s="25">
        <v>5</v>
      </c>
      <c r="C9" s="26">
        <v>0</v>
      </c>
      <c r="E9" s="27" t="s">
        <v>16</v>
      </c>
      <c r="F9" s="25" t="s">
        <v>76</v>
      </c>
      <c r="G9" s="26"/>
    </row>
    <row r="10" spans="1:7" ht="14.65" x14ac:dyDescent="0.85">
      <c r="A10" s="27" t="s">
        <v>16</v>
      </c>
      <c r="B10" s="25" t="s">
        <v>77</v>
      </c>
      <c r="C10" s="26"/>
      <c r="E10" s="24" t="s">
        <v>71</v>
      </c>
      <c r="F10" s="25">
        <v>5</v>
      </c>
      <c r="G10" s="26">
        <v>0</v>
      </c>
    </row>
    <row r="11" spans="1:7" ht="14.65" x14ac:dyDescent="0.85">
      <c r="A11" s="24" t="s">
        <v>71</v>
      </c>
      <c r="B11" s="25">
        <v>10</v>
      </c>
      <c r="C11" s="26">
        <v>0</v>
      </c>
      <c r="E11" s="27" t="s">
        <v>16</v>
      </c>
      <c r="F11" s="25" t="s">
        <v>77</v>
      </c>
      <c r="G11" s="26"/>
    </row>
    <row r="12" spans="1:7" ht="14.65" x14ac:dyDescent="0.85">
      <c r="A12" s="27" t="s">
        <v>16</v>
      </c>
      <c r="B12" s="25" t="s">
        <v>78</v>
      </c>
      <c r="C12" s="26"/>
      <c r="E12" s="24" t="s">
        <v>71</v>
      </c>
      <c r="F12" s="25">
        <v>10</v>
      </c>
      <c r="G12" s="26">
        <v>0</v>
      </c>
    </row>
    <row r="13" spans="1:7" ht="14.65" x14ac:dyDescent="0.85">
      <c r="A13" s="24" t="s">
        <v>71</v>
      </c>
      <c r="B13" s="25">
        <v>20</v>
      </c>
      <c r="C13" s="26">
        <v>0</v>
      </c>
      <c r="E13" s="27" t="s">
        <v>16</v>
      </c>
      <c r="F13" s="25" t="s">
        <v>78</v>
      </c>
      <c r="G13" s="26"/>
    </row>
    <row r="14" spans="1:7" ht="14.65" x14ac:dyDescent="0.85">
      <c r="A14" s="27" t="s">
        <v>16</v>
      </c>
      <c r="B14" s="25" t="s">
        <v>79</v>
      </c>
      <c r="C14" s="26"/>
      <c r="E14" s="24"/>
      <c r="F14" s="25"/>
      <c r="G14" s="26"/>
    </row>
    <row r="15" spans="1:7" ht="14.65" x14ac:dyDescent="0.85">
      <c r="A15" s="24" t="s">
        <v>71</v>
      </c>
      <c r="B15" s="25">
        <v>50</v>
      </c>
      <c r="C15" s="26">
        <v>0</v>
      </c>
      <c r="E15" s="27"/>
      <c r="F15" s="25"/>
      <c r="G15" s="26"/>
    </row>
    <row r="16" spans="1:7" ht="14.65" x14ac:dyDescent="0.85">
      <c r="A16" s="27" t="s">
        <v>16</v>
      </c>
      <c r="B16" s="25" t="s">
        <v>80</v>
      </c>
      <c r="C16" s="26"/>
    </row>
    <row r="17" spans="1:3" ht="14.65" x14ac:dyDescent="0.85">
      <c r="A17" s="24"/>
      <c r="B17" s="25"/>
      <c r="C17" s="26"/>
    </row>
    <row r="18" spans="1:3" x14ac:dyDescent="0.85">
      <c r="A18" s="24"/>
      <c r="B18" s="25"/>
      <c r="C18" s="26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Wind_Max_Rate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2024-01-21T02:17:36Z</dcterms:modified>
</cp:coreProperties>
</file>