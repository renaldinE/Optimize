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Macro\"/>
    </mc:Choice>
  </mc:AlternateContent>
  <xr:revisionPtr revIDLastSave="0" documentId="13_ncr:1_{C374F0FB-12B1-4014-9AFE-D9875DC53A19}" xr6:coauthVersionLast="47" xr6:coauthVersionMax="47" xr10:uidLastSave="{00000000-0000-0000-0000-000000000000}"/>
  <bookViews>
    <workbookView xWindow="-90" yWindow="-90" windowWidth="16637" windowHeight="9437" xr2:uid="{2DB270C5-EBA0-4D96-913E-EFBB62DDD8BE}"/>
  </bookViews>
  <sheets>
    <sheet name="Program" sheetId="1" r:id="rId1"/>
    <sheet name="Example" sheetId="2" r:id="rId2"/>
    <sheet name="Inbox" sheetId="3" r:id="rId3"/>
    <sheet name="Old Setups" sheetId="4" r:id="rId4"/>
  </sheets>
  <definedNames>
    <definedName name="Check">Inbox!$C$5</definedName>
    <definedName name="CO2_Price">Inbox!$G$2</definedName>
    <definedName name="Coal_Capital">Inbox!$M$2</definedName>
    <definedName name="Coal_Fixed">Inbox!$S$2</definedName>
    <definedName name="Coal_Variable">Inbox!$Y$2</definedName>
    <definedName name="Command">Program!$A$1</definedName>
    <definedName name="Demand">Inbox!$H$2</definedName>
    <definedName name="Directory">Inbox!$B$2</definedName>
    <definedName name="Gas_Capital">Inbox!$L$2</definedName>
    <definedName name="Gas_Fixed">Inbox!$R$2</definedName>
    <definedName name="Gas_Variable">Inbox!$X$2</definedName>
    <definedName name="Initial">Program!$B$1</definedName>
    <definedName name="Interest">Inbox!$F$2</definedName>
    <definedName name="Nuclear_Capital">Inbox!$K$2</definedName>
    <definedName name="Nuclear_Fixed">Inbox!$Q$2</definedName>
    <definedName name="Nuclear_Variable">Inbox!$W$2</definedName>
    <definedName name="One_Params">Inbox!$G$2:$Z$2</definedName>
    <definedName name="Param_Start">Program!$E$6</definedName>
    <definedName name="Params">Inbox!$C$1:$Y$1</definedName>
    <definedName name="Per_Year">Program!$C$1</definedName>
    <definedName name="Region">Inbox!$D$2</definedName>
    <definedName name="Regions">Program!$J$2:$J$2</definedName>
    <definedName name="Solar_Capital">Inbox!$I$2</definedName>
    <definedName name="Solar_Fixed">Inbox!$O$2</definedName>
    <definedName name="Solar_Variable">Inbox!$U$2</definedName>
    <definedName name="Storage_Cap">Inbox!$N$2</definedName>
    <definedName name="Storage_Fixed">Inbox!$T$2</definedName>
    <definedName name="Storage_Variable">Inbox!$Z$2</definedName>
    <definedName name="Title">Inbox!$C$2</definedName>
    <definedName name="Wind_Capital">Inbox!$J$2</definedName>
    <definedName name="Wind_Fixed">Inbox!$P$2</definedName>
    <definedName name="Wind_Variable">Inbox!$V$2</definedName>
    <definedName name="Years">Inbox!$E$2</definedName>
    <definedName name="zzzz">Program!$L$4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 a="1"/>
  <c r="C5" i="3" s="1"/>
  <c r="B32" i="2" l="1"/>
  <c r="B33" i="2"/>
  <c r="B34" i="2"/>
  <c r="B35" i="2"/>
  <c r="E25" i="2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B26" i="2"/>
  <c r="B27" i="2"/>
  <c r="B28" i="2"/>
  <c r="B29" i="2"/>
  <c r="B30" i="2"/>
  <c r="B31" i="2"/>
  <c r="B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F3" authorId="0" shapeId="0" xr:uid="{7FFCB24F-D914-4DE5-AF85-EE2C651C261A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"Initial" Column Only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<sst xmlns="http://schemas.openxmlformats.org/spreadsheetml/2006/main" count="198" uniqueCount="109">
  <si>
    <t>Regions:</t>
  </si>
  <si>
    <t>All</t>
  </si>
  <si>
    <t>CAL</t>
  </si>
  <si>
    <t>CAR</t>
  </si>
  <si>
    <t>CENT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</si>
  <si>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</si>
  <si>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</si>
  <si>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</si>
  <si>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</si>
  <si>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</si>
  <si>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</si>
  <si>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</si>
  <si>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</si>
  <si>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</si>
  <si>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</si>
  <si>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Command</t>
  </si>
  <si>
    <t>Run</t>
  </si>
  <si>
    <t>CO2_Cost</t>
  </si>
  <si>
    <t>Commands:</t>
  </si>
  <si>
    <t>(Nothing)</t>
  </si>
  <si>
    <t>Blank cell at end</t>
  </si>
  <si>
    <t>Solar_Fixed</t>
  </si>
  <si>
    <t>Wind_Fixed</t>
  </si>
  <si>
    <t>Nuclear_Fixed</t>
  </si>
  <si>
    <t>Gas_Fixed</t>
  </si>
  <si>
    <t>Coal_Fixed</t>
  </si>
  <si>
    <t>Storage_Fixed</t>
  </si>
  <si>
    <t>Solar_Variable</t>
  </si>
  <si>
    <t>Wind_Variable</t>
  </si>
  <si>
    <t>Nuclear_Variable</t>
  </si>
  <si>
    <t>Gas_Variable</t>
  </si>
  <si>
    <t>Coal_Variable</t>
  </si>
  <si>
    <t>Storage_Variable</t>
  </si>
  <si>
    <t>Clear</t>
  </si>
  <si>
    <t>Region</t>
  </si>
  <si>
    <t>Description:</t>
  </si>
  <si>
    <t>CO2_0</t>
  </si>
  <si>
    <t>Years</t>
  </si>
  <si>
    <t>Initial</t>
  </si>
  <si>
    <t>Per Year</t>
  </si>
  <si>
    <t>Demand</t>
  </si>
  <si>
    <t>% Change</t>
  </si>
  <si>
    <t>Do whole US</t>
  </si>
  <si>
    <t>Increase Demand 1%/year</t>
  </si>
  <si>
    <t>CO2 cost $10/Ton first year, $20/Ton second year, etc.</t>
  </si>
  <si>
    <t>Run scenario named "CO2_0"</t>
  </si>
  <si>
    <t>CO2 is Free</t>
  </si>
  <si>
    <t>N/A</t>
  </si>
  <si>
    <t>Title</t>
  </si>
  <si>
    <t>Number of Years to run</t>
  </si>
  <si>
    <t>Integer</t>
  </si>
  <si>
    <t>Total Electricity Demand</t>
  </si>
  <si>
    <t>Set everything to 0</t>
  </si>
  <si>
    <t>CO2_10per</t>
  </si>
  <si>
    <t>CO2_10_Nuc-5</t>
  </si>
  <si>
    <t>Do next 4 years</t>
  </si>
  <si>
    <t>Run scenario named "CO2_10per"</t>
  </si>
  <si>
    <t>Nuclear Learning Curve</t>
  </si>
  <si>
    <t>Run scenario named "CO2_10_Nuc-5"</t>
  </si>
  <si>
    <t>Blank at end</t>
  </si>
  <si>
    <t>Demand, Fixed, Variable</t>
  </si>
  <si>
    <t>Year</t>
  </si>
  <si>
    <t>Multiplier</t>
  </si>
  <si>
    <t>CO2 Cost</t>
  </si>
  <si>
    <t>Directory</t>
  </si>
  <si>
    <t>Name</t>
  </si>
  <si>
    <t>Dir below \results\ to put results</t>
  </si>
  <si>
    <t>Filenames will include Title.</t>
  </si>
  <si>
    <t>Analyse</t>
  </si>
  <si>
    <t>Re-analyse without re-run.</t>
  </si>
  <si>
    <t>Clears all to Nominal</t>
  </si>
  <si>
    <t>CO2_Price</t>
  </si>
  <si>
    <t>Check</t>
  </si>
  <si>
    <t>Kill_Dir</t>
  </si>
  <si>
    <t>Test-11-06</t>
  </si>
  <si>
    <t>Full-2023-11-06</t>
  </si>
  <si>
    <t>CO2_00</t>
  </si>
  <si>
    <t>CO2_05</t>
  </si>
  <si>
    <t>CO2_10</t>
  </si>
  <si>
    <t>CO2_20</t>
  </si>
  <si>
    <t>CO2_50</t>
  </si>
  <si>
    <t>Cal</t>
  </si>
  <si>
    <t>Interest</t>
  </si>
  <si>
    <t>% per annum</t>
  </si>
  <si>
    <t>_Fixed</t>
  </si>
  <si>
    <t>_Variable</t>
  </si>
  <si>
    <t>Following have prefix of Solar, Wind, Nuclear, Gas, Coal or Storage:</t>
  </si>
  <si>
    <t>Default = 12% (0.12)</t>
  </si>
  <si>
    <t>Yearly</t>
  </si>
  <si>
    <t>Kill_Mail</t>
  </si>
  <si>
    <t>Remove old results, compare</t>
  </si>
  <si>
    <t>Init $/Ton</t>
  </si>
  <si>
    <t>Added $/Ton</t>
  </si>
  <si>
    <t>% Change in Change</t>
  </si>
  <si>
    <t xml:space="preserve">% Initial (forever) Change </t>
  </si>
  <si>
    <t>Construction Cost</t>
  </si>
  <si>
    <t>Maintenance, etc.</t>
  </si>
  <si>
    <t>Fuel, maintenance</t>
  </si>
  <si>
    <t>Solar_Cap</t>
  </si>
  <si>
    <t>Wind_Cap</t>
  </si>
  <si>
    <t>Nuclear_Cap</t>
  </si>
  <si>
    <t>Gas_Cap</t>
  </si>
  <si>
    <t>Coal_Cap</t>
  </si>
  <si>
    <t>Storage_Cap</t>
  </si>
  <si>
    <t>Remove old python\outbox</t>
  </si>
  <si>
    <t>Nuclear_Capital</t>
  </si>
  <si>
    <t>_Capital</t>
  </si>
  <si>
    <t>Full-2024-01-17-2n</t>
  </si>
  <si>
    <t>CO2-300-27y-2N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</si>
</sst>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0" xfId="0" applyBorder="1"/>
    <xf numFmtId="0" fontId="0" fillId="0" borderId="12" xfId="0" applyBorder="1"/>
    <xf numFmtId="0" fontId="0" fillId="0" borderId="14" xfId="0" applyBorder="1"/>
    <xf numFmtId="0" fontId="0" fillId="0" borderId="9" xfId="0" applyBorder="1"/>
    <xf numFmtId="0" fontId="1" fillId="0" borderId="15" xfId="0" applyFont="1" applyBorder="1"/>
    <xf numFmtId="0" fontId="1" fillId="0" borderId="16" xfId="0" applyFont="1" applyBorder="1"/>
    <xf numFmtId="0" fontId="1" fillId="0" borderId="17" xfId="0" applyFont="1" applyBorder="1"/>
    <xf numFmtId="0" fontId="1" fillId="0" borderId="13" xfId="0" applyFont="1" applyBorder="1"/>
    <xf numFmtId="0" fontId="1" fillId="0" borderId="0" xfId="0" applyFont="1"/>
    <xf numFmtId="0" fontId="1" fillId="0" borderId="18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0" xfId="0" applyProtection="1">
      <protection locked="0"/>
    </xf>
    <xf numFmtId="0" fontId="0" fillId="2" borderId="1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11" xfId="0" applyFill="1" applyBorder="1" applyProtection="1">
      <protection locked="0"/>
    </xf>
    <xf numFmtId="0" fontId="0" fillId="2" borderId="8" xfId="0" applyFill="1" applyBorder="1" applyProtection="1">
      <protection locked="0"/>
    </xf>
    <xf numFmtId="9" fontId="0" fillId="0" borderId="0" xfId="0" applyNumberFormat="1"/>
    <xf numFmtId="2" fontId="0" fillId="0" borderId="0" xfId="0" applyNumberFormat="1"/>
    <xf numFmtId="0" fontId="0" fillId="2" borderId="19" xfId="0" applyFill="1" applyBorder="1" applyProtection="1">
      <protection locked="0"/>
    </xf>
    <xf numFmtId="0" fontId="0" fillId="0" borderId="8" xfId="0" applyBorder="1"/>
    <xf numFmtId="0" fontId="0" fillId="0" borderId="20" xfId="0" applyBorder="1"/>
    <xf numFmtId="0" fontId="0" fillId="0" borderId="21" xfId="0" applyBorder="1"/>
    <xf numFmtId="0" fontId="1" fillId="0" borderId="22" xfId="0" applyFont="1" applyBorder="1"/>
    <xf numFmtId="0" fontId="0" fillId="0" borderId="28" xfId="0" applyBorder="1" applyAlignment="1">
      <alignment wrapText="1"/>
    </xf>
    <xf numFmtId="0" fontId="0" fillId="0" borderId="29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6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0" fillId="0" borderId="26" xfId="0" applyBorder="1" applyAlignment="1">
      <alignment vertical="center" wrapText="1"/>
    </xf>
    <xf numFmtId="0" fontId="0" fillId="0" borderId="24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30" xfId="0" applyBorder="1" applyAlignment="1">
      <alignment vertical="center"/>
    </xf>
  </cellXfs>
  <cellStyles count="1">
    <cellStyle name="Normal" xfId="0" builtinId="0"/>
  </cellStyles>
  <dxfs count="8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Example!$E$24</c:f>
              <c:strCache>
                <c:ptCount val="1"/>
                <c:pt idx="0">
                  <c:v>Multiplier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Example!$E$25:$E$35</c:f>
              <c:numCache>
                <c:formatCode>0.00</c:formatCode>
                <c:ptCount val="11"/>
                <c:pt idx="0">
                  <c:v>1.05</c:v>
                </c:pt>
                <c:pt idx="1">
                  <c:v>1.26</c:v>
                </c:pt>
                <c:pt idx="2">
                  <c:v>1.512</c:v>
                </c:pt>
                <c:pt idx="3">
                  <c:v>1.8144</c:v>
                </c:pt>
                <c:pt idx="4">
                  <c:v>2.1772800000000001</c:v>
                </c:pt>
                <c:pt idx="5">
                  <c:v>2.6127359999999999</c:v>
                </c:pt>
                <c:pt idx="6">
                  <c:v>3.1352831999999999</c:v>
                </c:pt>
                <c:pt idx="7">
                  <c:v>3.7623398399999997</c:v>
                </c:pt>
                <c:pt idx="8">
                  <c:v>4.5148078079999996</c:v>
                </c:pt>
                <c:pt idx="9">
                  <c:v>5.4177693695999993</c:v>
                </c:pt>
                <c:pt idx="10">
                  <c:v>6.501323243519999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22-407E-9711-53D5A0B97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4062751"/>
        <c:axId val="2059741967"/>
      </c:scatterChart>
      <c:valAx>
        <c:axId val="101406275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741967"/>
        <c:crosses val="autoZero"/>
        <c:crossBetween val="midCat"/>
      </c:valAx>
      <c:valAx>
        <c:axId val="205974196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40627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Example!$B$24</c:f>
              <c:strCache>
                <c:ptCount val="1"/>
                <c:pt idx="0">
                  <c:v>CO2 Cost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Example!$A$25:$A$35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Example!$B$25:$B$35</c:f>
              <c:numCache>
                <c:formatCode>General</c:formatCode>
                <c:ptCount val="11"/>
                <c:pt idx="0">
                  <c:v>5</c:v>
                </c:pt>
                <c:pt idx="1">
                  <c:v>25</c:v>
                </c:pt>
                <c:pt idx="2">
                  <c:v>45</c:v>
                </c:pt>
                <c:pt idx="3">
                  <c:v>65</c:v>
                </c:pt>
                <c:pt idx="4">
                  <c:v>85</c:v>
                </c:pt>
                <c:pt idx="5">
                  <c:v>105</c:v>
                </c:pt>
                <c:pt idx="6">
                  <c:v>125</c:v>
                </c:pt>
                <c:pt idx="7">
                  <c:v>145</c:v>
                </c:pt>
                <c:pt idx="8">
                  <c:v>165</c:v>
                </c:pt>
                <c:pt idx="9">
                  <c:v>185</c:v>
                </c:pt>
                <c:pt idx="10">
                  <c:v>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D-4DE0-8B3A-9F29D49FD7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0918831"/>
        <c:axId val="929082959"/>
      </c:scatterChart>
      <c:valAx>
        <c:axId val="1000918831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082959"/>
        <c:crosses val="autoZero"/>
        <c:crossBetween val="midCat"/>
      </c:valAx>
      <c:valAx>
        <c:axId val="929082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091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304799</xdr:colOff>
      <xdr:row>1</xdr:row>
      <xdr:rowOff>2279</xdr:rowOff>
    </xdr:from>
    <xdr:to>
      <xdr:col>3</xdr:col>
      <xdr:colOff>1008887</xdr:colOff>
      <xdr:row>4</xdr:row>
      <xdr:rowOff>148328</xdr:rowOff>
    </xdr:to>
    <xdr:sp macro="[0]!Overrun" textlink="">
      <xdr:nvSpPr>
        <xdr:cNvPr id="4" name="Oval 3">
          <a:extLst>
            <a:ext uri="{FF2B5EF4-FFF2-40B4-BE49-F238E27FC236}">
              <a16:creationId xmlns:a16="http://schemas.microsoft.com/office/drawing/2014/main" id="{680C9320-BB69-A3D2-CF52-C4E20B07190D}"/>
            </a:ext>
          </a:extLst>
        </xdr:cNvPr>
        <xdr:cNvSpPr/>
      </xdr:nvSpPr>
      <xdr:spPr>
        <a:xfrm>
          <a:off x="2939142" y="195500"/>
          <a:ext cx="704088" cy="701221"/>
        </a:xfrm>
        <a:prstGeom prst="ellipse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0" cap="none" spc="0" baseline="0">
              <a:ln>
                <a:noFill/>
              </a:ln>
              <a:solidFill>
                <a:schemeClr val="bg1"/>
              </a:solidFill>
              <a:effectLst/>
            </a:rPr>
            <a:t>Run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209549</xdr:colOff>
      <xdr:row>14</xdr:row>
      <xdr:rowOff>92075</xdr:rowOff>
    </xdr:from>
    <xdr:to>
      <xdr:col>6</xdr:col>
      <xdr:colOff>527050</xdr:colOff>
      <xdr:row>20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E2E2B-79D4-625B-80A3-7033C9F26D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288926</xdr:colOff>
      <xdr:row>14</xdr:row>
      <xdr:rowOff>92075</xdr:rowOff>
    </xdr:from>
    <xdr:to>
      <xdr:col>2</xdr:col>
      <xdr:colOff>574676</xdr:colOff>
      <xdr:row>20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36D09A8-E556-33AD-9BFD-5A5F4808D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7314-E0DD-4183-B005-1F43F6557747}">
  <sheetPr codeName="Sheet1"/>
  <dimension ref="A1:K79"/>
  <sheetViews>
    <sheetView tabSelected="1" workbookViewId="0">
      <pane ySplit="1" topLeftCell="A2" activePane="bottomLeft" state="frozen"/>
      <selection activeCell="B1" sqref="B1"/>
      <selection pane="bottomLeft" activeCell="B3" sqref="B3"/>
    </sheetView>
  </sheetViews>
  <sheetFormatPr defaultRowHeight="14.6" x14ac:dyDescent="0.85"/>
  <cols>
    <col min="1" max="1" width="14.19140625" style="21" customWidth="1"/>
    <col min="2" max="2" width="15.34375" style="21" customWidth="1"/>
    <col min="3" max="3" width="7.69140625" style="21" bestFit="1" customWidth="1"/>
    <col min="4" max="4" width="17.8828125" customWidth="1"/>
    <col min="5" max="5" width="14.69140625" bestFit="1" customWidth="1"/>
    <col min="6" max="6" width="12.9609375" bestFit="1" customWidth="1"/>
    <col min="7" max="7" width="12.9609375" customWidth="1"/>
    <col min="8" max="8" width="28.4609375" bestFit="1" customWidth="1"/>
    <col min="9" max="9" width="3.34375" customWidth="1"/>
    <col min="11" max="11" width="3.9609375" customWidth="1"/>
  </cols>
  <sheetData>
    <row r="1" spans="1:11" ht="15.4" thickBot="1" x14ac:dyDescent="1">
      <c r="A1" s="12" t="s">
        <v>15</v>
      </c>
      <c r="B1" s="13" t="s">
        <v>38</v>
      </c>
      <c r="C1" s="14" t="s">
        <v>39</v>
      </c>
      <c r="E1" s="18" t="s">
        <v>18</v>
      </c>
      <c r="F1" s="19" t="s">
        <v>38</v>
      </c>
      <c r="G1" s="38" t="s">
        <v>39</v>
      </c>
      <c r="H1" s="20" t="s">
        <v>35</v>
      </c>
      <c r="I1" s="17"/>
      <c r="J1" s="15" t="s">
        <v>0</v>
      </c>
      <c r="K1" s="16"/>
    </row>
    <row r="2" spans="1:11" ht="14.65" x14ac:dyDescent="0.85">
      <c r="A2" s="22" t="s">
        <v>33</v>
      </c>
      <c r="B2" s="23"/>
      <c r="C2" s="24"/>
      <c r="E2" s="4" t="s">
        <v>33</v>
      </c>
      <c r="F2" s="5" t="s">
        <v>47</v>
      </c>
      <c r="G2" s="5" t="s">
        <v>47</v>
      </c>
      <c r="H2" s="6" t="s">
        <v>70</v>
      </c>
      <c r="J2" s="10" t="s">
        <v>1</v>
      </c>
    </row>
    <row r="3" spans="1:11" ht="14.65" x14ac:dyDescent="0.85">
      <c r="A3" s="25" t="s">
        <v>34</v>
      </c>
      <c r="B3" s="26" t="s">
        <v>14</v>
      </c>
      <c r="C3" s="27"/>
      <c r="E3" s="4" t="s">
        <v>16</v>
      </c>
      <c r="F3" s="5" t="s">
        <v>48</v>
      </c>
      <c r="G3" s="5" t="s">
        <v>47</v>
      </c>
      <c r="H3" s="6" t="s">
        <v>67</v>
      </c>
      <c r="J3" s="10" t="s">
        <v>2</v>
      </c>
    </row>
    <row r="4" spans="1:11" ht="14.65" x14ac:dyDescent="0.85">
      <c r="A4" s="28" t="s">
        <v>37</v>
      </c>
      <c r="B4" s="26">
        <v>27</v>
      </c>
      <c r="C4" s="27"/>
      <c r="E4" s="4" t="s">
        <v>68</v>
      </c>
      <c r="F4" s="5" t="s">
        <v>48</v>
      </c>
      <c r="G4" s="5" t="s">
        <v>47</v>
      </c>
      <c r="H4" s="6" t="s">
        <v>69</v>
      </c>
      <c r="J4" s="10" t="s">
        <v>3</v>
      </c>
    </row>
    <row r="5" spans="1:11" ht="14.65" x14ac:dyDescent="0.85">
      <c r="A5" s="28" t="s">
        <v>40</v>
      </c>
      <c r="B5" s="26">
        <v>0.02</v>
      </c>
      <c r="C5" s="27">
        <v>0</v>
      </c>
      <c r="E5" s="4" t="s">
        <v>19</v>
      </c>
      <c r="F5" s="5" t="s">
        <v>47</v>
      </c>
      <c r="G5" s="5" t="s">
        <v>47</v>
      </c>
      <c r="H5" s="6" t="s">
        <v>20</v>
      </c>
      <c r="J5" s="10" t="s">
        <v>4</v>
      </c>
    </row>
    <row r="6" spans="1:11" ht="14.65" x14ac:dyDescent="0.85">
      <c r="A6" s="34" t="s">
        <v>64</v>
      </c>
      <c r="B6" s="26" t="s">
        <v>107</v>
      </c>
      <c r="C6" s="27"/>
      <c r="E6" s="4" t="s">
        <v>37</v>
      </c>
      <c r="F6" s="5" t="s">
        <v>50</v>
      </c>
      <c r="G6" s="5" t="s">
        <v>47</v>
      </c>
      <c r="H6" s="6" t="s">
        <v>49</v>
      </c>
      <c r="J6" s="10" t="s">
        <v>5</v>
      </c>
    </row>
    <row r="7" spans="1:11" ht="14.65" x14ac:dyDescent="0.85">
      <c r="A7" s="34" t="s">
        <v>105</v>
      </c>
      <c r="B7" s="26">
        <v>0</v>
      </c>
      <c r="C7" s="27">
        <v>-0.02</v>
      </c>
      <c r="E7" s="4" t="s">
        <v>64</v>
      </c>
      <c r="F7" s="5" t="s">
        <v>65</v>
      </c>
      <c r="G7" s="5" t="s">
        <v>47</v>
      </c>
      <c r="H7" s="6" t="s">
        <v>66</v>
      </c>
      <c r="J7" s="10" t="s">
        <v>6</v>
      </c>
    </row>
    <row r="8" spans="1:11" ht="14.65" x14ac:dyDescent="0.85">
      <c r="A8" s="25" t="s">
        <v>71</v>
      </c>
      <c r="B8" s="26">
        <v>300</v>
      </c>
      <c r="C8" s="27">
        <v>0</v>
      </c>
      <c r="E8" s="4" t="s">
        <v>71</v>
      </c>
      <c r="F8" s="5" t="s">
        <v>91</v>
      </c>
      <c r="G8" s="8" t="s">
        <v>92</v>
      </c>
      <c r="H8" s="6"/>
      <c r="J8" s="10" t="s">
        <v>7</v>
      </c>
    </row>
    <row r="9" spans="1:11" ht="14.65" x14ac:dyDescent="0.85">
      <c r="A9" s="28" t="s">
        <v>16</v>
      </c>
      <c r="B9" s="26" t="s">
        <v>108</v>
      </c>
      <c r="C9" s="27"/>
      <c r="E9" s="4" t="s">
        <v>40</v>
      </c>
      <c r="F9" s="5" t="s">
        <v>41</v>
      </c>
      <c r="G9" s="5" t="s">
        <v>47</v>
      </c>
      <c r="H9" s="6" t="s">
        <v>51</v>
      </c>
      <c r="J9" s="10" t="s">
        <v>8</v>
      </c>
    </row>
    <row r="10" spans="1:11" ht="14.65" x14ac:dyDescent="0.85">
      <c r="A10" s="25"/>
      <c r="B10" s="26"/>
      <c r="C10" s="27"/>
      <c r="E10" s="4" t="s">
        <v>82</v>
      </c>
      <c r="F10" s="5" t="s">
        <v>83</v>
      </c>
      <c r="G10" s="5" t="s">
        <v>47</v>
      </c>
      <c r="H10" s="6" t="s">
        <v>87</v>
      </c>
      <c r="J10" s="10" t="s">
        <v>9</v>
      </c>
    </row>
    <row r="11" spans="1:11" ht="14.65" x14ac:dyDescent="0.85">
      <c r="A11" s="25"/>
      <c r="B11" s="26"/>
      <c r="C11" s="27"/>
      <c r="E11" s="36" t="s">
        <v>73</v>
      </c>
      <c r="F11" s="5" t="s">
        <v>47</v>
      </c>
      <c r="G11" s="5" t="s">
        <v>47</v>
      </c>
      <c r="H11" s="37" t="s">
        <v>90</v>
      </c>
      <c r="J11" s="10" t="s">
        <v>10</v>
      </c>
    </row>
    <row r="12" spans="1:11" ht="15.3" thickBot="1" x14ac:dyDescent="1">
      <c r="A12" s="25"/>
      <c r="B12" s="26"/>
      <c r="C12" s="27"/>
      <c r="E12" s="36" t="s">
        <v>89</v>
      </c>
      <c r="F12" s="5" t="s">
        <v>47</v>
      </c>
      <c r="G12" s="5" t="s">
        <v>47</v>
      </c>
      <c r="H12" s="37" t="s">
        <v>104</v>
      </c>
      <c r="J12" s="10" t="s">
        <v>11</v>
      </c>
    </row>
    <row r="13" spans="1:11" ht="15.3" thickBot="1" x14ac:dyDescent="1">
      <c r="A13" s="25"/>
      <c r="B13" s="26"/>
      <c r="C13" s="27"/>
      <c r="E13" s="41" t="s">
        <v>86</v>
      </c>
      <c r="F13" s="42"/>
      <c r="G13" s="43"/>
      <c r="H13" s="44"/>
      <c r="J13" s="10" t="s">
        <v>12</v>
      </c>
    </row>
    <row r="14" spans="1:11" x14ac:dyDescent="0.85">
      <c r="A14" s="25"/>
      <c r="B14" s="26"/>
      <c r="C14" s="27"/>
      <c r="E14" s="39" t="s">
        <v>106</v>
      </c>
      <c r="F14" s="45" t="s">
        <v>94</v>
      </c>
      <c r="G14" s="45" t="s">
        <v>93</v>
      </c>
      <c r="H14" s="40" t="s">
        <v>95</v>
      </c>
      <c r="J14" s="10" t="s">
        <v>13</v>
      </c>
    </row>
    <row r="15" spans="1:11" ht="15.25" thickBot="1" x14ac:dyDescent="1">
      <c r="A15" s="25"/>
      <c r="B15" s="26"/>
      <c r="C15" s="27"/>
      <c r="E15" s="4" t="s">
        <v>84</v>
      </c>
      <c r="F15" s="46"/>
      <c r="G15" s="48"/>
      <c r="H15" s="6" t="s">
        <v>96</v>
      </c>
      <c r="J15" s="11" t="s">
        <v>14</v>
      </c>
    </row>
    <row r="16" spans="1:11" ht="15.25" thickBot="1" x14ac:dyDescent="1">
      <c r="A16" s="25"/>
      <c r="B16" s="26"/>
      <c r="C16" s="27"/>
      <c r="E16" s="7" t="s">
        <v>85</v>
      </c>
      <c r="F16" s="47"/>
      <c r="G16" s="49"/>
      <c r="H16" s="35" t="s">
        <v>97</v>
      </c>
      <c r="J16" s="9"/>
    </row>
    <row r="17" spans="1:3" ht="14.65" x14ac:dyDescent="0.85">
      <c r="A17" s="25"/>
      <c r="B17" s="26"/>
      <c r="C17" s="27"/>
    </row>
    <row r="18" spans="1:3" ht="14.65" x14ac:dyDescent="0.85">
      <c r="A18" s="25"/>
      <c r="B18" s="26"/>
      <c r="C18" s="27"/>
    </row>
    <row r="19" spans="1:3" ht="14.65" x14ac:dyDescent="0.85">
      <c r="A19" s="25"/>
      <c r="B19" s="26"/>
      <c r="C19" s="27"/>
    </row>
    <row r="20" spans="1:3" x14ac:dyDescent="0.85">
      <c r="A20" s="25"/>
      <c r="B20" s="26"/>
      <c r="C20" s="27"/>
    </row>
    <row r="21" spans="1:3" x14ac:dyDescent="0.85">
      <c r="A21" s="25"/>
      <c r="B21" s="26"/>
      <c r="C21" s="27"/>
    </row>
    <row r="22" spans="1:3" x14ac:dyDescent="0.85">
      <c r="A22" s="25"/>
      <c r="B22" s="26"/>
      <c r="C22" s="27"/>
    </row>
    <row r="23" spans="1:3" x14ac:dyDescent="0.85">
      <c r="A23" s="25"/>
      <c r="B23" s="26"/>
      <c r="C23" s="27"/>
    </row>
    <row r="24" spans="1:3" x14ac:dyDescent="0.85">
      <c r="A24" s="25"/>
      <c r="B24" s="26"/>
      <c r="C24" s="27"/>
    </row>
    <row r="25" spans="1:3" x14ac:dyDescent="0.85">
      <c r="A25" s="25"/>
      <c r="B25" s="26"/>
      <c r="C25" s="27"/>
    </row>
    <row r="26" spans="1:3" x14ac:dyDescent="0.85">
      <c r="A26" s="25"/>
      <c r="B26" s="26"/>
      <c r="C26" s="27"/>
    </row>
    <row r="27" spans="1:3" x14ac:dyDescent="0.85">
      <c r="A27" s="25"/>
      <c r="B27" s="26"/>
      <c r="C27" s="27"/>
    </row>
    <row r="28" spans="1:3" x14ac:dyDescent="0.85">
      <c r="A28" s="25"/>
      <c r="B28" s="26"/>
      <c r="C28" s="27"/>
    </row>
    <row r="29" spans="1:3" x14ac:dyDescent="0.85">
      <c r="A29" s="25"/>
      <c r="B29" s="26"/>
      <c r="C29" s="27"/>
    </row>
    <row r="30" spans="1:3" x14ac:dyDescent="0.85">
      <c r="A30" s="25"/>
      <c r="B30" s="26"/>
      <c r="C30" s="27"/>
    </row>
    <row r="31" spans="1:3" x14ac:dyDescent="0.85">
      <c r="A31" s="25"/>
      <c r="B31" s="26"/>
      <c r="C31" s="27"/>
    </row>
    <row r="32" spans="1:3" x14ac:dyDescent="0.85">
      <c r="A32" s="25"/>
      <c r="B32" s="26"/>
      <c r="C32" s="27"/>
    </row>
    <row r="33" spans="1:3" x14ac:dyDescent="0.85">
      <c r="A33" s="25"/>
      <c r="B33" s="26"/>
      <c r="C33" s="27"/>
    </row>
    <row r="34" spans="1:3" x14ac:dyDescent="0.85">
      <c r="A34" s="25"/>
      <c r="B34" s="26"/>
      <c r="C34" s="27"/>
    </row>
    <row r="35" spans="1:3" x14ac:dyDescent="0.85">
      <c r="A35" s="25"/>
      <c r="B35" s="26"/>
      <c r="C35" s="27"/>
    </row>
    <row r="36" spans="1:3" x14ac:dyDescent="0.85">
      <c r="A36" s="25"/>
      <c r="B36" s="26"/>
      <c r="C36" s="27"/>
    </row>
    <row r="37" spans="1:3" x14ac:dyDescent="0.85">
      <c r="A37" s="25"/>
      <c r="B37" s="26"/>
      <c r="C37" s="27"/>
    </row>
    <row r="38" spans="1:3" x14ac:dyDescent="0.85">
      <c r="A38" s="25"/>
      <c r="B38" s="26"/>
      <c r="C38" s="27"/>
    </row>
    <row r="39" spans="1:3" x14ac:dyDescent="0.85">
      <c r="A39" s="25"/>
      <c r="B39" s="26"/>
      <c r="C39" s="27"/>
    </row>
    <row r="40" spans="1:3" x14ac:dyDescent="0.85">
      <c r="A40" s="25"/>
      <c r="B40" s="26"/>
      <c r="C40" s="27"/>
    </row>
    <row r="41" spans="1:3" x14ac:dyDescent="0.85">
      <c r="A41" s="25"/>
      <c r="B41" s="26"/>
      <c r="C41" s="27"/>
    </row>
    <row r="42" spans="1:3" x14ac:dyDescent="0.85">
      <c r="A42" s="25"/>
      <c r="B42" s="26"/>
      <c r="C42" s="27"/>
    </row>
    <row r="43" spans="1:3" x14ac:dyDescent="0.85">
      <c r="A43" s="25"/>
      <c r="B43" s="26"/>
      <c r="C43" s="27"/>
    </row>
    <row r="44" spans="1:3" x14ac:dyDescent="0.85">
      <c r="A44" s="25"/>
      <c r="B44" s="26"/>
      <c r="C44" s="27"/>
    </row>
    <row r="45" spans="1:3" x14ac:dyDescent="0.85">
      <c r="A45" s="25"/>
      <c r="B45" s="26"/>
      <c r="C45" s="27"/>
    </row>
    <row r="46" spans="1:3" x14ac:dyDescent="0.85">
      <c r="A46" s="25"/>
      <c r="B46" s="26"/>
      <c r="C46" s="27"/>
    </row>
    <row r="47" spans="1:3" x14ac:dyDescent="0.85">
      <c r="A47" s="25"/>
      <c r="B47" s="26"/>
      <c r="C47" s="27"/>
    </row>
    <row r="48" spans="1:3" x14ac:dyDescent="0.85">
      <c r="A48" s="25"/>
      <c r="B48" s="26"/>
      <c r="C48" s="27"/>
    </row>
    <row r="49" spans="1:3" x14ac:dyDescent="0.85">
      <c r="A49" s="25"/>
      <c r="B49" s="26"/>
      <c r="C49" s="27"/>
    </row>
    <row r="50" spans="1:3" x14ac:dyDescent="0.85">
      <c r="A50" s="25"/>
      <c r="B50" s="26"/>
      <c r="C50" s="27"/>
    </row>
    <row r="51" spans="1:3" x14ac:dyDescent="0.85">
      <c r="A51" s="25"/>
      <c r="B51" s="26"/>
      <c r="C51" s="27"/>
    </row>
    <row r="52" spans="1:3" x14ac:dyDescent="0.85">
      <c r="A52" s="25"/>
      <c r="B52" s="26"/>
      <c r="C52" s="27"/>
    </row>
    <row r="53" spans="1:3" x14ac:dyDescent="0.85">
      <c r="A53" s="25"/>
      <c r="B53" s="26"/>
      <c r="C53" s="27"/>
    </row>
    <row r="54" spans="1:3" x14ac:dyDescent="0.85">
      <c r="A54" s="25"/>
      <c r="B54" s="26"/>
      <c r="C54" s="27"/>
    </row>
    <row r="55" spans="1:3" x14ac:dyDescent="0.85">
      <c r="A55" s="25"/>
      <c r="B55" s="26"/>
      <c r="C55" s="27"/>
    </row>
    <row r="56" spans="1:3" x14ac:dyDescent="0.85">
      <c r="A56" s="25"/>
      <c r="B56" s="26"/>
      <c r="C56" s="27"/>
    </row>
    <row r="57" spans="1:3" x14ac:dyDescent="0.85">
      <c r="A57" s="25"/>
      <c r="B57" s="26"/>
      <c r="C57" s="27"/>
    </row>
    <row r="58" spans="1:3" x14ac:dyDescent="0.85">
      <c r="A58" s="25"/>
      <c r="B58" s="26"/>
      <c r="C58" s="27"/>
    </row>
    <row r="59" spans="1:3" x14ac:dyDescent="0.85">
      <c r="A59" s="25"/>
      <c r="B59" s="26"/>
      <c r="C59" s="27"/>
    </row>
    <row r="60" spans="1:3" x14ac:dyDescent="0.85">
      <c r="A60" s="25"/>
      <c r="B60" s="26"/>
      <c r="C60" s="27"/>
    </row>
    <row r="61" spans="1:3" x14ac:dyDescent="0.85">
      <c r="A61" s="25"/>
      <c r="B61" s="26"/>
      <c r="C61" s="27"/>
    </row>
    <row r="62" spans="1:3" x14ac:dyDescent="0.85">
      <c r="A62" s="25"/>
      <c r="B62" s="26"/>
      <c r="C62" s="27"/>
    </row>
    <row r="63" spans="1:3" x14ac:dyDescent="0.85">
      <c r="A63" s="25"/>
      <c r="B63" s="26"/>
      <c r="C63" s="27"/>
    </row>
    <row r="64" spans="1:3" x14ac:dyDescent="0.85">
      <c r="A64" s="25"/>
      <c r="B64" s="26"/>
      <c r="C64" s="27"/>
    </row>
    <row r="65" spans="1:3" x14ac:dyDescent="0.85">
      <c r="A65" s="25"/>
      <c r="B65" s="26"/>
      <c r="C65" s="27"/>
    </row>
    <row r="66" spans="1:3" x14ac:dyDescent="0.85">
      <c r="A66" s="25"/>
      <c r="B66" s="26"/>
      <c r="C66" s="27"/>
    </row>
    <row r="67" spans="1:3" x14ac:dyDescent="0.85">
      <c r="A67" s="25"/>
      <c r="B67" s="26"/>
      <c r="C67" s="27"/>
    </row>
    <row r="68" spans="1:3" x14ac:dyDescent="0.85">
      <c r="A68" s="25"/>
      <c r="B68" s="26"/>
      <c r="C68" s="27"/>
    </row>
    <row r="69" spans="1:3" x14ac:dyDescent="0.85">
      <c r="A69" s="25"/>
      <c r="B69" s="26"/>
      <c r="C69" s="27"/>
    </row>
    <row r="70" spans="1:3" x14ac:dyDescent="0.85">
      <c r="A70" s="25"/>
      <c r="B70" s="26"/>
      <c r="C70" s="27"/>
    </row>
    <row r="71" spans="1:3" x14ac:dyDescent="0.85">
      <c r="A71" s="25"/>
      <c r="B71" s="26"/>
      <c r="C71" s="27"/>
    </row>
    <row r="72" spans="1:3" x14ac:dyDescent="0.85">
      <c r="A72" s="25"/>
      <c r="B72" s="26"/>
      <c r="C72" s="27"/>
    </row>
    <row r="73" spans="1:3" x14ac:dyDescent="0.85">
      <c r="A73" s="25"/>
      <c r="B73" s="26"/>
      <c r="C73" s="27"/>
    </row>
    <row r="74" spans="1:3" x14ac:dyDescent="0.85">
      <c r="A74" s="25"/>
      <c r="B74" s="26"/>
      <c r="C74" s="27"/>
    </row>
    <row r="75" spans="1:3" x14ac:dyDescent="0.85">
      <c r="A75" s="25"/>
      <c r="B75" s="26"/>
      <c r="C75" s="27"/>
    </row>
    <row r="76" spans="1:3" x14ac:dyDescent="0.85">
      <c r="A76" s="25"/>
      <c r="B76" s="26"/>
      <c r="C76" s="27"/>
    </row>
    <row r="77" spans="1:3" x14ac:dyDescent="0.85">
      <c r="A77" s="25"/>
      <c r="B77" s="26"/>
      <c r="C77" s="27"/>
    </row>
    <row r="78" spans="1:3" x14ac:dyDescent="0.85">
      <c r="A78" s="25"/>
      <c r="B78" s="26"/>
      <c r="C78" s="27"/>
    </row>
    <row r="79" spans="1:3" ht="15.25" thickBot="1" x14ac:dyDescent="1">
      <c r="A79" s="29"/>
      <c r="B79" s="30"/>
      <c r="C79" s="31"/>
    </row>
  </sheetData>
  <mergeCells count="3">
    <mergeCell ref="E13:H13"/>
    <mergeCell ref="F14:F16"/>
    <mergeCell ref="G14:G16"/>
  </mergeCells>
  <conditionalFormatting sqref="B10:C79 B2:C5">
    <cfRule type="expression" dxfId="7" priority="57">
      <formula>AND($A2&lt;&gt; "CO2_Price", $A2 &lt;&gt; "Years")</formula>
    </cfRule>
  </conditionalFormatting>
  <conditionalFormatting sqref="B8:C9">
    <cfRule type="expression" dxfId="6" priority="17">
      <formula>AND($A8&lt;&gt; "CO2_Price", $A8 &lt;&gt; "Years")</formula>
    </cfRule>
  </conditionalFormatting>
  <conditionalFormatting sqref="B9">
    <cfRule type="expression" dxfId="5" priority="16">
      <formula>AND($A9&lt;&gt; "CO2_Price", $A9 &lt;&gt; "Years")</formula>
    </cfRule>
  </conditionalFormatting>
  <conditionalFormatting sqref="B6:C6">
    <cfRule type="expression" dxfId="4" priority="9">
      <formula>AND($A6&lt;&gt; "CO2_Price", $A6 &lt;&gt; "Years")</formula>
    </cfRule>
  </conditionalFormatting>
  <conditionalFormatting sqref="B7:C7">
    <cfRule type="expression" dxfId="3" priority="4">
      <formula>AND($A7&lt;&gt; "CO2_Price", $A7 &lt;&gt; "Years")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703E5-334E-4160-9F87-A937602E6248}">
  <sheetPr codeName="Sheet2"/>
  <dimension ref="A1:F36"/>
  <sheetViews>
    <sheetView workbookViewId="0">
      <selection activeCell="H22" sqref="H22"/>
    </sheetView>
  </sheetViews>
  <sheetFormatPr defaultRowHeight="14.6" x14ac:dyDescent="0.85"/>
  <cols>
    <col min="1" max="1" width="12.23046875" bestFit="1" customWidth="1"/>
    <col min="2" max="2" width="12.84375" bestFit="1" customWidth="1"/>
    <col min="3" max="3" width="11.4609375" customWidth="1"/>
  </cols>
  <sheetData>
    <row r="1" spans="1:5" ht="15.4" thickBot="1" x14ac:dyDescent="1">
      <c r="A1" s="12" t="s">
        <v>15</v>
      </c>
      <c r="B1" s="13" t="s">
        <v>38</v>
      </c>
      <c r="C1" s="14" t="s">
        <v>39</v>
      </c>
    </row>
    <row r="2" spans="1:5" ht="14.65" x14ac:dyDescent="0.85">
      <c r="A2" s="1" t="s">
        <v>33</v>
      </c>
      <c r="B2" s="2"/>
      <c r="C2" s="3"/>
      <c r="D2" t="s">
        <v>52</v>
      </c>
    </row>
    <row r="3" spans="1:5" ht="14.65" x14ac:dyDescent="0.85">
      <c r="A3" s="4" t="s">
        <v>34</v>
      </c>
      <c r="B3" s="8" t="s">
        <v>1</v>
      </c>
      <c r="C3" s="6"/>
      <c r="D3" t="s">
        <v>42</v>
      </c>
    </row>
    <row r="4" spans="1:5" ht="14.65" x14ac:dyDescent="0.85">
      <c r="A4" s="5" t="s">
        <v>40</v>
      </c>
      <c r="B4" s="8">
        <v>0.01</v>
      </c>
      <c r="C4" s="6">
        <v>0.01</v>
      </c>
      <c r="D4" t="s">
        <v>43</v>
      </c>
    </row>
    <row r="5" spans="1:5" ht="14.65" x14ac:dyDescent="0.85">
      <c r="A5" s="5" t="s">
        <v>17</v>
      </c>
      <c r="B5" s="8">
        <v>0</v>
      </c>
      <c r="C5" s="6">
        <v>0</v>
      </c>
      <c r="D5" t="s">
        <v>46</v>
      </c>
    </row>
    <row r="6" spans="1:5" ht="14.65" x14ac:dyDescent="0.85">
      <c r="A6" s="5" t="s">
        <v>37</v>
      </c>
      <c r="B6" s="8">
        <v>4</v>
      </c>
      <c r="C6" s="6"/>
      <c r="D6" t="s">
        <v>55</v>
      </c>
    </row>
    <row r="7" spans="1:5" ht="14.65" x14ac:dyDescent="0.85">
      <c r="A7" s="4" t="s">
        <v>16</v>
      </c>
      <c r="B7" s="8" t="s">
        <v>36</v>
      </c>
      <c r="C7" s="6"/>
      <c r="D7" t="s">
        <v>45</v>
      </c>
    </row>
    <row r="8" spans="1:5" ht="14.65" x14ac:dyDescent="0.85">
      <c r="A8" s="5" t="s">
        <v>17</v>
      </c>
      <c r="B8" s="8">
        <v>10</v>
      </c>
      <c r="C8" s="6">
        <v>10</v>
      </c>
      <c r="D8" t="s">
        <v>44</v>
      </c>
    </row>
    <row r="9" spans="1:5" ht="14.65" x14ac:dyDescent="0.85">
      <c r="A9" s="4" t="s">
        <v>16</v>
      </c>
      <c r="B9" s="8" t="s">
        <v>53</v>
      </c>
      <c r="C9" s="6"/>
      <c r="D9" t="s">
        <v>56</v>
      </c>
    </row>
    <row r="10" spans="1:5" ht="14.65" x14ac:dyDescent="0.85">
      <c r="A10" s="5" t="s">
        <v>23</v>
      </c>
      <c r="B10" s="8">
        <v>0</v>
      </c>
      <c r="C10" s="6">
        <v>-0.05</v>
      </c>
      <c r="D10" t="s">
        <v>57</v>
      </c>
    </row>
    <row r="11" spans="1:5" ht="14.65" x14ac:dyDescent="0.85">
      <c r="A11" s="4" t="s">
        <v>16</v>
      </c>
      <c r="B11" s="8" t="s">
        <v>54</v>
      </c>
      <c r="C11" s="6"/>
      <c r="D11" t="s">
        <v>58</v>
      </c>
    </row>
    <row r="12" spans="1:5" ht="14.65" x14ac:dyDescent="0.85">
      <c r="A12" s="4"/>
      <c r="B12" s="8"/>
      <c r="C12" s="6"/>
      <c r="D12" t="s">
        <v>59</v>
      </c>
    </row>
    <row r="14" spans="1:5" ht="14.65" x14ac:dyDescent="0.85">
      <c r="B14" t="s">
        <v>17</v>
      </c>
      <c r="E14" t="s">
        <v>60</v>
      </c>
    </row>
    <row r="21" spans="1:6" ht="15.25" thickBot="1" x14ac:dyDescent="1"/>
    <row r="22" spans="1:6" ht="15.25" thickBot="1" x14ac:dyDescent="1">
      <c r="B22" s="13" t="s">
        <v>38</v>
      </c>
      <c r="C22" s="14" t="s">
        <v>39</v>
      </c>
      <c r="E22" s="13" t="s">
        <v>38</v>
      </c>
      <c r="F22" s="14" t="s">
        <v>39</v>
      </c>
    </row>
    <row r="23" spans="1:6" x14ac:dyDescent="0.85">
      <c r="B23">
        <v>5</v>
      </c>
      <c r="C23">
        <v>20</v>
      </c>
      <c r="E23" s="32">
        <v>0.05</v>
      </c>
      <c r="F23" s="32">
        <v>0.2</v>
      </c>
    </row>
    <row r="24" spans="1:6" x14ac:dyDescent="0.85">
      <c r="A24" t="s">
        <v>61</v>
      </c>
      <c r="B24" t="s">
        <v>63</v>
      </c>
      <c r="E24" t="s">
        <v>62</v>
      </c>
    </row>
    <row r="25" spans="1:6" x14ac:dyDescent="0.85">
      <c r="A25">
        <v>0</v>
      </c>
      <c r="B25">
        <f>$B$23+(A25*$C$23)</f>
        <v>5</v>
      </c>
      <c r="E25" s="33">
        <f>1+$E$23</f>
        <v>1.05</v>
      </c>
      <c r="F25" s="33"/>
    </row>
    <row r="26" spans="1:6" x14ac:dyDescent="0.85">
      <c r="A26">
        <v>1</v>
      </c>
      <c r="B26">
        <f t="shared" ref="B26:B35" si="0">$B$23+(A26*$C$23)</f>
        <v>25</v>
      </c>
      <c r="E26" s="33">
        <f>E25*(1+$F$23)</f>
        <v>1.26</v>
      </c>
      <c r="F26" s="33"/>
    </row>
    <row r="27" spans="1:6" x14ac:dyDescent="0.85">
      <c r="A27">
        <v>2</v>
      </c>
      <c r="B27">
        <f t="shared" si="0"/>
        <v>45</v>
      </c>
      <c r="E27" s="33">
        <f t="shared" ref="E27:E35" si="1">E26*(1+$F$23)</f>
        <v>1.512</v>
      </c>
      <c r="F27" s="33"/>
    </row>
    <row r="28" spans="1:6" x14ac:dyDescent="0.85">
      <c r="A28">
        <v>3</v>
      </c>
      <c r="B28">
        <f t="shared" si="0"/>
        <v>65</v>
      </c>
      <c r="E28" s="33">
        <f t="shared" si="1"/>
        <v>1.8144</v>
      </c>
      <c r="F28" s="33"/>
    </row>
    <row r="29" spans="1:6" x14ac:dyDescent="0.85">
      <c r="A29">
        <v>4</v>
      </c>
      <c r="B29">
        <f t="shared" si="0"/>
        <v>85</v>
      </c>
      <c r="E29" s="33">
        <f t="shared" si="1"/>
        <v>2.1772800000000001</v>
      </c>
      <c r="F29" s="33"/>
    </row>
    <row r="30" spans="1:6" x14ac:dyDescent="0.85">
      <c r="A30">
        <v>5</v>
      </c>
      <c r="B30">
        <f t="shared" si="0"/>
        <v>105</v>
      </c>
      <c r="E30" s="33">
        <f t="shared" si="1"/>
        <v>2.6127359999999999</v>
      </c>
      <c r="F30" s="33"/>
    </row>
    <row r="31" spans="1:6" x14ac:dyDescent="0.85">
      <c r="A31">
        <v>6</v>
      </c>
      <c r="B31">
        <f t="shared" si="0"/>
        <v>125</v>
      </c>
      <c r="E31" s="33">
        <f t="shared" si="1"/>
        <v>3.1352831999999999</v>
      </c>
      <c r="F31" s="33"/>
    </row>
    <row r="32" spans="1:6" x14ac:dyDescent="0.85">
      <c r="A32">
        <v>7</v>
      </c>
      <c r="B32">
        <f t="shared" si="0"/>
        <v>145</v>
      </c>
      <c r="E32" s="33">
        <f t="shared" si="1"/>
        <v>3.7623398399999997</v>
      </c>
      <c r="F32" s="33"/>
    </row>
    <row r="33" spans="1:5" x14ac:dyDescent="0.85">
      <c r="A33">
        <v>8</v>
      </c>
      <c r="B33">
        <f t="shared" si="0"/>
        <v>165</v>
      </c>
      <c r="E33" s="33">
        <f t="shared" si="1"/>
        <v>4.5148078079999996</v>
      </c>
    </row>
    <row r="34" spans="1:5" x14ac:dyDescent="0.85">
      <c r="A34">
        <v>9</v>
      </c>
      <c r="B34">
        <f t="shared" si="0"/>
        <v>185</v>
      </c>
      <c r="E34" s="33">
        <f t="shared" si="1"/>
        <v>5.4177693695999993</v>
      </c>
    </row>
    <row r="35" spans="1:5" x14ac:dyDescent="0.85">
      <c r="A35">
        <v>10</v>
      </c>
      <c r="B35">
        <f t="shared" si="0"/>
        <v>205</v>
      </c>
      <c r="E35" s="33">
        <f t="shared" si="1"/>
        <v>6.501323243519999</v>
      </c>
    </row>
    <row r="36" spans="1:5" x14ac:dyDescent="0.85">
      <c r="E36" s="33"/>
    </row>
  </sheetData>
  <conditionalFormatting sqref="B2:C12">
    <cfRule type="expression" dxfId="2" priority="1">
      <formula>AND($A2&lt;&gt; "CO2_Cost", $A2 &lt;&gt; "Years")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00C40-4AC3-4236-B4CE-04C2B84F9596}">
  <sheetPr codeName="Sheet3"/>
  <dimension ref="A1:Z5"/>
  <sheetViews>
    <sheetView workbookViewId="0">
      <selection activeCell="E6" sqref="E6"/>
    </sheetView>
  </sheetViews>
  <sheetFormatPr defaultRowHeight="14.6" x14ac:dyDescent="0.85"/>
  <cols>
    <col min="2" max="2" width="12.5" customWidth="1"/>
    <col min="3" max="3" width="10.5" customWidth="1"/>
    <col min="4" max="4" width="8.57421875" bestFit="1" customWidth="1"/>
    <col min="5" max="7" width="8.57421875" customWidth="1"/>
    <col min="8" max="8" width="7.53515625" bestFit="1" customWidth="1"/>
    <col min="9" max="9" width="10.265625" bestFit="1" customWidth="1"/>
    <col min="10" max="10" width="12.23046875" bestFit="1" customWidth="1"/>
    <col min="11" max="11" width="8.9609375" bestFit="1" customWidth="1"/>
    <col min="12" max="12" width="9.4609375" bestFit="1" customWidth="1"/>
    <col min="13" max="13" width="12.19140625" bestFit="1" customWidth="1"/>
    <col min="14" max="14" width="12.3828125" bestFit="1" customWidth="1"/>
    <col min="15" max="15" width="12.73046875" bestFit="1" customWidth="1"/>
    <col min="16" max="16" width="14.69140625" bestFit="1" customWidth="1"/>
    <col min="17" max="17" width="11.34375" bestFit="1" customWidth="1"/>
    <col min="18" max="18" width="11.84375" bestFit="1" customWidth="1"/>
    <col min="19" max="19" width="14.61328125" bestFit="1" customWidth="1"/>
    <col min="21" max="21" width="11.84375" bestFit="1" customWidth="1"/>
  </cols>
  <sheetData>
    <row r="1" spans="1:26" x14ac:dyDescent="0.85">
      <c r="B1" t="s">
        <v>64</v>
      </c>
      <c r="C1" t="s">
        <v>48</v>
      </c>
      <c r="D1" t="s">
        <v>34</v>
      </c>
      <c r="E1" t="s">
        <v>37</v>
      </c>
      <c r="F1" t="s">
        <v>82</v>
      </c>
      <c r="G1" t="s">
        <v>71</v>
      </c>
      <c r="H1" t="s">
        <v>40</v>
      </c>
      <c r="I1" t="s">
        <v>98</v>
      </c>
      <c r="J1" t="s">
        <v>99</v>
      </c>
      <c r="K1" t="s">
        <v>100</v>
      </c>
      <c r="L1" t="s">
        <v>101</v>
      </c>
      <c r="M1" t="s">
        <v>102</v>
      </c>
      <c r="N1" t="s">
        <v>103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</row>
    <row r="2" spans="1:26" x14ac:dyDescent="0.85">
      <c r="A2" t="s">
        <v>38</v>
      </c>
      <c r="B2" t="s">
        <v>107</v>
      </c>
      <c r="C2" t="s">
        <v>108</v>
      </c>
      <c r="D2" t="s">
        <v>14</v>
      </c>
      <c r="E2">
        <v>27</v>
      </c>
      <c r="F2">
        <v>0.12</v>
      </c>
      <c r="G2">
        <v>300</v>
      </c>
      <c r="H2">
        <v>1.02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</row>
    <row r="3" spans="1:26" x14ac:dyDescent="0.85">
      <c r="A3" t="s">
        <v>88</v>
      </c>
      <c r="F3">
        <v>1</v>
      </c>
      <c r="G3">
        <v>0</v>
      </c>
      <c r="H3">
        <v>1</v>
      </c>
      <c r="I3">
        <v>1</v>
      </c>
      <c r="J3">
        <v>1</v>
      </c>
      <c r="K3">
        <v>0.98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</row>
    <row r="5" spans="1:26" x14ac:dyDescent="0.85">
      <c r="B5" t="s">
        <v>72</v>
      </c>
      <c r="C5" t="str" cm="1">
        <f t="array" ref="C5">IF(AND(LEN(Directory)&gt;0,LEN(Title)&gt;0,LEN(Region)&gt;0,ISNUMBER(E2:Z2),ISNUMBER(G3:Z3)), "OK", "Missing Data")</f>
        <v>OK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F2FE4-DAFA-4D16-B047-C6106624FCAB}">
  <sheetPr codeName="Sheet4"/>
  <dimension ref="A1:G18"/>
  <sheetViews>
    <sheetView workbookViewId="0">
      <selection sqref="A1:C8"/>
    </sheetView>
  </sheetViews>
  <sheetFormatPr defaultRowHeight="14.6" x14ac:dyDescent="0.85"/>
  <sheetData>
    <row r="1" spans="1:7" ht="15.4" thickBot="1" x14ac:dyDescent="1">
      <c r="A1" s="12" t="s">
        <v>15</v>
      </c>
      <c r="B1" s="13" t="s">
        <v>38</v>
      </c>
      <c r="C1" s="14" t="s">
        <v>39</v>
      </c>
      <c r="E1" s="12" t="s">
        <v>15</v>
      </c>
      <c r="F1" s="13" t="s">
        <v>38</v>
      </c>
      <c r="G1" s="14" t="s">
        <v>39</v>
      </c>
    </row>
    <row r="2" spans="1:7" ht="14.65" x14ac:dyDescent="0.85">
      <c r="A2" s="22" t="s">
        <v>33</v>
      </c>
      <c r="B2" s="23"/>
      <c r="C2" s="24"/>
      <c r="E2" s="22" t="s">
        <v>33</v>
      </c>
      <c r="F2" s="23"/>
      <c r="G2" s="24"/>
    </row>
    <row r="3" spans="1:7" ht="14.65" x14ac:dyDescent="0.85">
      <c r="A3" s="25" t="s">
        <v>34</v>
      </c>
      <c r="B3" s="26" t="s">
        <v>1</v>
      </c>
      <c r="C3" s="27"/>
      <c r="E3" s="25" t="s">
        <v>34</v>
      </c>
      <c r="F3" s="26" t="s">
        <v>81</v>
      </c>
      <c r="G3" s="27"/>
    </row>
    <row r="4" spans="1:7" ht="14.65" x14ac:dyDescent="0.85">
      <c r="A4" s="28" t="s">
        <v>40</v>
      </c>
      <c r="B4" s="26">
        <v>0.02</v>
      </c>
      <c r="C4" s="27">
        <v>0.02</v>
      </c>
      <c r="E4" s="28" t="s">
        <v>40</v>
      </c>
      <c r="F4" s="26">
        <v>0.02</v>
      </c>
      <c r="G4" s="27">
        <v>0.02</v>
      </c>
    </row>
    <row r="5" spans="1:7" ht="14.65" x14ac:dyDescent="0.85">
      <c r="A5" s="28" t="s">
        <v>37</v>
      </c>
      <c r="B5" s="26">
        <v>27</v>
      </c>
      <c r="C5" s="27"/>
      <c r="E5" s="28" t="s">
        <v>37</v>
      </c>
      <c r="F5" s="26">
        <v>3</v>
      </c>
      <c r="G5" s="27"/>
    </row>
    <row r="6" spans="1:7" ht="14.65" x14ac:dyDescent="0.85">
      <c r="A6" s="34" t="s">
        <v>64</v>
      </c>
      <c r="B6" s="26" t="s">
        <v>75</v>
      </c>
      <c r="C6" s="27"/>
      <c r="E6" s="34" t="s">
        <v>64</v>
      </c>
      <c r="F6" s="26" t="s">
        <v>74</v>
      </c>
      <c r="G6" s="27"/>
    </row>
    <row r="7" spans="1:7" ht="14.65" x14ac:dyDescent="0.85">
      <c r="A7" s="25" t="s">
        <v>71</v>
      </c>
      <c r="B7" s="26">
        <v>0</v>
      </c>
      <c r="C7" s="27">
        <v>0</v>
      </c>
      <c r="E7" s="34" t="s">
        <v>73</v>
      </c>
      <c r="F7" s="26"/>
      <c r="G7" s="27"/>
    </row>
    <row r="8" spans="1:7" ht="14.65" x14ac:dyDescent="0.85">
      <c r="A8" s="28" t="s">
        <v>16</v>
      </c>
      <c r="B8" s="26" t="s">
        <v>76</v>
      </c>
      <c r="C8" s="27"/>
      <c r="E8" s="25" t="s">
        <v>71</v>
      </c>
      <c r="F8" s="26">
        <v>0</v>
      </c>
      <c r="G8" s="27">
        <v>0</v>
      </c>
    </row>
    <row r="9" spans="1:7" ht="14.65" x14ac:dyDescent="0.85">
      <c r="A9" s="25" t="s">
        <v>71</v>
      </c>
      <c r="B9" s="26">
        <v>5</v>
      </c>
      <c r="C9" s="27">
        <v>0</v>
      </c>
      <c r="E9" s="28" t="s">
        <v>16</v>
      </c>
      <c r="F9" s="26" t="s">
        <v>76</v>
      </c>
      <c r="G9" s="27"/>
    </row>
    <row r="10" spans="1:7" ht="14.65" x14ac:dyDescent="0.85">
      <c r="A10" s="28" t="s">
        <v>16</v>
      </c>
      <c r="B10" s="26" t="s">
        <v>77</v>
      </c>
      <c r="C10" s="27"/>
      <c r="E10" s="25" t="s">
        <v>71</v>
      </c>
      <c r="F10" s="26">
        <v>5</v>
      </c>
      <c r="G10" s="27">
        <v>0</v>
      </c>
    </row>
    <row r="11" spans="1:7" ht="14.65" x14ac:dyDescent="0.85">
      <c r="A11" s="25" t="s">
        <v>71</v>
      </c>
      <c r="B11" s="26">
        <v>10</v>
      </c>
      <c r="C11" s="27">
        <v>0</v>
      </c>
      <c r="E11" s="28" t="s">
        <v>16</v>
      </c>
      <c r="F11" s="26" t="s">
        <v>77</v>
      </c>
      <c r="G11" s="27"/>
    </row>
    <row r="12" spans="1:7" ht="14.65" x14ac:dyDescent="0.85">
      <c r="A12" s="28" t="s">
        <v>16</v>
      </c>
      <c r="B12" s="26" t="s">
        <v>78</v>
      </c>
      <c r="C12" s="27"/>
      <c r="E12" s="25" t="s">
        <v>71</v>
      </c>
      <c r="F12" s="26">
        <v>10</v>
      </c>
      <c r="G12" s="27">
        <v>0</v>
      </c>
    </row>
    <row r="13" spans="1:7" ht="14.65" x14ac:dyDescent="0.85">
      <c r="A13" s="25" t="s">
        <v>71</v>
      </c>
      <c r="B13" s="26">
        <v>20</v>
      </c>
      <c r="C13" s="27">
        <v>0</v>
      </c>
      <c r="E13" s="28" t="s">
        <v>16</v>
      </c>
      <c r="F13" s="26" t="s">
        <v>78</v>
      </c>
      <c r="G13" s="27"/>
    </row>
    <row r="14" spans="1:7" ht="14.65" x14ac:dyDescent="0.85">
      <c r="A14" s="28" t="s">
        <v>16</v>
      </c>
      <c r="B14" s="26" t="s">
        <v>79</v>
      </c>
      <c r="C14" s="27"/>
      <c r="E14" s="25"/>
      <c r="F14" s="26"/>
      <c r="G14" s="27"/>
    </row>
    <row r="15" spans="1:7" ht="14.65" x14ac:dyDescent="0.85">
      <c r="A15" s="25" t="s">
        <v>71</v>
      </c>
      <c r="B15" s="26">
        <v>50</v>
      </c>
      <c r="C15" s="27">
        <v>0</v>
      </c>
      <c r="E15" s="28"/>
      <c r="F15" s="26"/>
      <c r="G15" s="27"/>
    </row>
    <row r="16" spans="1:7" ht="14.65" x14ac:dyDescent="0.85">
      <c r="A16" s="28" t="s">
        <v>16</v>
      </c>
      <c r="B16" s="26" t="s">
        <v>80</v>
      </c>
      <c r="C16" s="27"/>
    </row>
    <row r="17" spans="1:3" ht="14.65" x14ac:dyDescent="0.85">
      <c r="A17" s="25"/>
      <c r="B17" s="26"/>
      <c r="C17" s="27"/>
    </row>
    <row r="18" spans="1:3" x14ac:dyDescent="0.85">
      <c r="A18" s="25"/>
      <c r="B18" s="26"/>
      <c r="C18" s="27"/>
    </row>
  </sheetData>
  <conditionalFormatting sqref="B2:C18">
    <cfRule type="expression" dxfId="1" priority="2">
      <formula>AND($A2&lt;&gt; "CO2_Price", $A2 &lt;&gt; "Years")</formula>
    </cfRule>
  </conditionalFormatting>
  <conditionalFormatting sqref="F2:G15">
    <cfRule type="expression" dxfId="0" priority="1">
      <formula>AND($A2&lt;&gt; "CO2_Price", $A2 &lt;&gt; "Years")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Program</vt:lpstr>
      <vt:lpstr>Example</vt:lpstr>
      <vt:lpstr>Inbox</vt:lpstr>
      <vt:lpstr>Old Setups</vt:lpstr>
      <vt:lpstr>Check</vt:lpstr>
      <vt:lpstr>CO2_Price</vt:lpstr>
      <vt:lpstr>Coal_Capital</vt:lpstr>
      <vt:lpstr>Coal_Fixed</vt:lpstr>
      <vt:lpstr>Coal_Variable</vt:lpstr>
      <vt:lpstr>Command</vt:lpstr>
      <vt:lpstr>Demand</vt:lpstr>
      <vt:lpstr>Directory</vt:lpstr>
      <vt:lpstr>Gas_Capital</vt:lpstr>
      <vt:lpstr>Gas_Fixed</vt:lpstr>
      <vt:lpstr>Gas_Variable</vt:lpstr>
      <vt:lpstr>Initial</vt:lpstr>
      <vt:lpstr>Interest</vt:lpstr>
      <vt:lpstr>Nuclear_Capital</vt:lpstr>
      <vt:lpstr>Nuclear_Fixed</vt:lpstr>
      <vt:lpstr>Nuclear_Variable</vt:lpstr>
      <vt:lpstr>One_Params</vt:lpstr>
      <vt:lpstr>Param_Start</vt:lpstr>
      <vt:lpstr>Params</vt:lpstr>
      <vt:lpstr>Per_Year</vt:lpstr>
      <vt:lpstr>Region</vt:lpstr>
      <vt:lpstr>Regions</vt:lpstr>
      <vt:lpstr>Solar_Capital</vt:lpstr>
      <vt:lpstr>Solar_Fixed</vt:lpstr>
      <vt:lpstr>Solar_Variable</vt:lpstr>
      <vt:lpstr>Storage_Cap</vt:lpstr>
      <vt:lpstr>Storage_Fixed</vt:lpstr>
      <vt:lpstr>Storage_Variable</vt:lpstr>
      <vt:lpstr>Title</vt:lpstr>
      <vt:lpstr>Wind_Capital</vt:lpstr>
      <vt:lpstr>Wind_Fixed</vt:lpstr>
      <vt:lpstr>Wind_Variable</vt:lpstr>
      <vt:lpstr>Years</vt:lpstr>
      <vt:lpstr>zzzz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2023-05-22T02:57:04Z</dcterms:created>
  <dcterms:modified xsi:type="dcterms:W3CDTF">2024-01-19T02:44:51Z</dcterms:modified>
</cp:coreProperties>
</file>